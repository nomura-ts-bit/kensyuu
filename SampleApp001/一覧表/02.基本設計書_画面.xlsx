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FDB2247D-4B7C-4700-844A-2364C195EA3C}" xr6:coauthVersionLast="47" xr6:coauthVersionMax="47" xr10:uidLastSave="{00000000-0000-0000-0000-000000000000}"/>
  <bookViews>
    <workbookView xWindow="-120" yWindow="-120" windowWidth="29040" windowHeight="15720" tabRatio="855" activeTab="8" xr2:uid="{00000000-000D-0000-FFFF-FFFF00000000}"/>
  </bookViews>
  <sheets>
    <sheet name="改版履歴" sheetId="2" r:id="rId1"/>
    <sheet name="パス一覧" sheetId="50" r:id="rId2"/>
    <sheet name="①ログイン画面" sheetId="3" r:id="rId3"/>
    <sheet name="②新規登録画面" sheetId="46" r:id="rId4"/>
    <sheet name="②登録確認ダイアログ" sheetId="49" r:id="rId5"/>
    <sheet name="③楽曲検索画面" sheetId="15" r:id="rId6"/>
    <sheet name="④楽曲管理画面" sheetId="45" r:id="rId7"/>
    <sheet name="⑤変更確認ダイアログ" sheetId="47" r:id="rId8"/>
    <sheet name="⑥削除確認ダイアログ" sheetId="48" r:id="rId9"/>
  </sheets>
  <externalReferences>
    <externalReference r:id="rId10"/>
    <externalReference r:id="rId11"/>
    <externalReference r:id="rId12"/>
    <externalReference r:id="rId13"/>
    <externalReference r:id="rId14"/>
  </externalReferences>
  <definedNames>
    <definedName name="_Table1_In1" localSheetId="5" hidden="1">#REF!</definedName>
    <definedName name="_Table1_In1" localSheetId="6" hidden="1">#REF!</definedName>
    <definedName name="_Table1_In1" localSheetId="7" hidden="1">#REF!</definedName>
    <definedName name="_Table1_In1" localSheetId="8" hidden="1">#REF!</definedName>
    <definedName name="_Table1_In1" hidden="1">#REF!</definedName>
    <definedName name="_Table1_Out" localSheetId="5" hidden="1">#REF!</definedName>
    <definedName name="_Table1_Out" localSheetId="6" hidden="1">#REF!</definedName>
    <definedName name="_Table1_Out" localSheetId="7" hidden="1">#REF!</definedName>
    <definedName name="_Table1_Out" localSheetId="8" hidden="1">#REF!</definedName>
    <definedName name="_Table1_Out" hidden="1">#REF!</definedName>
    <definedName name="③楽曲追加画面" localSheetId="3">[1]!CNT</definedName>
    <definedName name="③楽曲追加画面" localSheetId="4">[1]!CNT</definedName>
    <definedName name="③楽曲追加画面" localSheetId="6">[1]!CNT</definedName>
    <definedName name="③楽曲追加画面" localSheetId="7">[1]!CNT</definedName>
    <definedName name="③楽曲追加画面" localSheetId="8">[1]!CNT</definedName>
    <definedName name="③楽曲追加画面">[1]!CNT</definedName>
    <definedName name="a" localSheetId="4">[1]!CNT</definedName>
    <definedName name="a" localSheetId="8">[1]!CNT</definedName>
    <definedName name="a">[1]!CNT</definedName>
    <definedName name="blank">[2]パーティション設計シート!$M$2</definedName>
    <definedName name="boot">[2]パーティション設計シート!$M$1:$M$2</definedName>
    <definedName name="BOX" localSheetId="5">[3]ハードウェアリスト!#REF!</definedName>
    <definedName name="BOX" localSheetId="6">[3]ハードウェアリスト!#REF!</definedName>
    <definedName name="BOX" localSheetId="7">[3]ハードウェアリスト!#REF!</definedName>
    <definedName name="BOX" localSheetId="8">[3]ハードウェアリスト!#REF!</definedName>
    <definedName name="BOX">[3]ハードウェアリスト!#REF!</definedName>
    <definedName name="BOXRPSU">[2]ハードウェアリスト!$E$43:$E$44</definedName>
    <definedName name="CNT" localSheetId="3">[1]!CNT</definedName>
    <definedName name="CNT" localSheetId="4">[1]!CNT</definedName>
    <definedName name="CNT" localSheetId="5">[1]!CNT</definedName>
    <definedName name="CNT" localSheetId="6">[1]!CNT</definedName>
    <definedName name="CNT" localSheetId="7">[1]!CNT</definedName>
    <definedName name="CNT" localSheetId="8">[1]!CNT</definedName>
    <definedName name="CNT">[1]!CNT</definedName>
    <definedName name="CPU">[2]ハードウェアリスト!$E$12:$E$14</definedName>
    <definedName name="CPU_1000" localSheetId="5">#REF!</definedName>
    <definedName name="CPU_1000" localSheetId="6">#REF!</definedName>
    <definedName name="CPU_1000" localSheetId="7">#REF!</definedName>
    <definedName name="CPU_1000" localSheetId="8">#REF!</definedName>
    <definedName name="CPU_1000">#REF!</definedName>
    <definedName name="ｄ">[1]!CNT</definedName>
    <definedName name="ｄｇｇｇ" localSheetId="4">[1]!CNT</definedName>
    <definedName name="ｄｇｇｇ">[1]!CNT</definedName>
    <definedName name="DISK">[2]ハードウェアリスト!$E$20:$E$23</definedName>
    <definedName name="GP7L0A1A" localSheetId="5">[4]ハードウェア!#REF!</definedName>
    <definedName name="GP7L0A1A" localSheetId="6">[4]ハードウェア!#REF!</definedName>
    <definedName name="GP7L0A1A" localSheetId="7">[4]ハードウェア!#REF!</definedName>
    <definedName name="GP7L0A1A" localSheetId="8">[4]ハードウェア!#REF!</definedName>
    <definedName name="GP7L0A1A">[4]ハードウェア!#REF!</definedName>
    <definedName name="GP7L7SB1" localSheetId="5">[4]ハードウェア!#REF!</definedName>
    <definedName name="GP7L7SB1" localSheetId="6">[4]ハードウェア!#REF!</definedName>
    <definedName name="GP7L7SB1" localSheetId="7">[4]ハードウェア!#REF!</definedName>
    <definedName name="GP7L7SB1" localSheetId="8">[4]ハードウェア!#REF!</definedName>
    <definedName name="GP7L7SB1">[4]ハードウェア!#REF!</definedName>
    <definedName name="GP7L7SB11" localSheetId="5">[4]ハードウェア!#REF!</definedName>
    <definedName name="GP7L7SB11" localSheetId="6">[4]ハードウェア!#REF!</definedName>
    <definedName name="GP7L7SB11" localSheetId="7">[4]ハードウェア!#REF!</definedName>
    <definedName name="GP7L7SB11" localSheetId="8">[4]ハードウェア!#REF!</definedName>
    <definedName name="GP7L7SB11">[4]ハードウェア!#REF!</definedName>
    <definedName name="GP7N1A11A" localSheetId="5">[4]ハードウェア!#REF!</definedName>
    <definedName name="GP7N1A11A" localSheetId="6">[4]ハードウェア!#REF!</definedName>
    <definedName name="GP7N1A11A" localSheetId="7">[4]ハードウェア!#REF!</definedName>
    <definedName name="GP7N1A11A" localSheetId="8">[4]ハードウェア!#REF!</definedName>
    <definedName name="GP7N1A11A">[4]ハードウェア!#REF!</definedName>
    <definedName name="GP7N2M51" localSheetId="5">[4]ハードウェア!#REF!</definedName>
    <definedName name="GP7N2M51" localSheetId="6">[4]ハードウェア!#REF!</definedName>
    <definedName name="GP7N2M51" localSheetId="7">[4]ハードウェア!#REF!</definedName>
    <definedName name="GP7N2M51" localSheetId="8">[4]ハードウェア!#REF!</definedName>
    <definedName name="GP7N2M51">[4]ハードウェア!#REF!</definedName>
    <definedName name="GP7N7CL1" localSheetId="5">[4]ハードウェア!#REF!</definedName>
    <definedName name="GP7N7CL1" localSheetId="6">[4]ハードウェア!#REF!</definedName>
    <definedName name="GP7N7CL1" localSheetId="7">[4]ハードウェア!#REF!</definedName>
    <definedName name="GP7N7CL1" localSheetId="8">[4]ハードウェア!#REF!</definedName>
    <definedName name="GP7N7CL1">[4]ハードウェア!#REF!</definedName>
    <definedName name="GP7N7CL2" localSheetId="5">[4]ハードウェア!#REF!</definedName>
    <definedName name="GP7N7CL2" localSheetId="6">[4]ハードウェア!#REF!</definedName>
    <definedName name="GP7N7CL2" localSheetId="7">[4]ハードウェア!#REF!</definedName>
    <definedName name="GP7N7CL2" localSheetId="8">[4]ハードウェア!#REF!</definedName>
    <definedName name="GP7N7CL2">[4]ハードウェア!#REF!</definedName>
    <definedName name="GP7N7CL3" localSheetId="5">[4]ハードウェア!#REF!</definedName>
    <definedName name="GP7N7CL3" localSheetId="6">[4]ハードウェア!#REF!</definedName>
    <definedName name="GP7N7CL3" localSheetId="7">[4]ハードウェア!#REF!</definedName>
    <definedName name="GP7N7CL3" localSheetId="8">[4]ハードウェア!#REF!</definedName>
    <definedName name="GP7N7CL3">[4]ハードウェア!#REF!</definedName>
    <definedName name="InvoiceDetail" localSheetId="5">[5]InvoiceDetail!#REF!</definedName>
    <definedName name="InvoiceDetail" localSheetId="6">[5]InvoiceDetail!#REF!</definedName>
    <definedName name="InvoiceDetail" localSheetId="7">[5]InvoiceDetail!#REF!</definedName>
    <definedName name="InvoiceDetail" localSheetId="8">[5]InvoiceDetail!#REF!</definedName>
    <definedName name="InvoiceDetail">[5]InvoiceDetail!#REF!</definedName>
    <definedName name="InvoiceHeader" localSheetId="5">[5]InvoiceHeader!#REF!</definedName>
    <definedName name="InvoiceHeader" localSheetId="6">[5]InvoiceHeader!#REF!</definedName>
    <definedName name="InvoiceHeader" localSheetId="7">[5]InvoiceHeader!#REF!</definedName>
    <definedName name="InvoiceHeader" localSheetId="8">[5]InvoiceHeader!#REF!</definedName>
    <definedName name="InvoiceHeader">[5]InvoiceHeader!#REF!</definedName>
    <definedName name="MEM">[2]ハードウェアリスト!$E$16:$E$19</definedName>
    <definedName name="MEM_1000" localSheetId="5">#REF!</definedName>
    <definedName name="MEM_1000" localSheetId="6">#REF!</definedName>
    <definedName name="MEM_1000" localSheetId="7">#REF!</definedName>
    <definedName name="MEM_1000" localSheetId="8">#REF!</definedName>
    <definedName name="MEM_1000">#REF!</definedName>
    <definedName name="MEM_2000" localSheetId="5">#REF!</definedName>
    <definedName name="MEM_2000" localSheetId="6">#REF!</definedName>
    <definedName name="MEM_2000" localSheetId="7">#REF!</definedName>
    <definedName name="MEM_2000" localSheetId="8">#REF!</definedName>
    <definedName name="MEM_2000">#REF!</definedName>
    <definedName name="MEM_800" localSheetId="5">#REF!</definedName>
    <definedName name="MEM_800" localSheetId="6">#REF!</definedName>
    <definedName name="MEM_800" localSheetId="7">#REF!</definedName>
    <definedName name="MEM_800" localSheetId="8">#REF!</definedName>
    <definedName name="MEM_800">#REF!</definedName>
    <definedName name="Packing_List_Detail" localSheetId="5">[5]Packing_List_Detail!#REF!</definedName>
    <definedName name="Packing_List_Detail" localSheetId="6">[5]Packing_List_Detail!#REF!</definedName>
    <definedName name="Packing_List_Detail" localSheetId="7">[5]Packing_List_Detail!#REF!</definedName>
    <definedName name="Packing_List_Detail" localSheetId="8">[5]Packing_List_Detail!#REF!</definedName>
    <definedName name="Packing_List_Detail">[5]Packing_List_Detail!#REF!</definedName>
    <definedName name="Packing_List_Header" localSheetId="5">[5]Packing_List_Header!#REF!</definedName>
    <definedName name="Packing_List_Header" localSheetId="6">[5]Packing_List_Header!#REF!</definedName>
    <definedName name="Packing_List_Header" localSheetId="7">[5]Packing_List_Header!#REF!</definedName>
    <definedName name="Packing_List_Header" localSheetId="8">[5]Packing_List_Header!#REF!</definedName>
    <definedName name="Packing_List_Header">[5]Packing_List_Header!#REF!</definedName>
    <definedName name="PCI">[2]ハードウェアリスト!$E$24:$E$42</definedName>
    <definedName name="_xlnm.Print_Area" localSheetId="2">①ログイン画面!$A$1:$BC$58</definedName>
    <definedName name="_xlnm.Print_Area" localSheetId="3">②新規登録画面!$A$1:$BC$58</definedName>
    <definedName name="_xlnm.Print_Area" localSheetId="4">②登録確認ダイアログ!$A$1:$BC$56</definedName>
    <definedName name="_xlnm.Print_Area" localSheetId="5">③楽曲検索画面!$A$1:$BC$63</definedName>
    <definedName name="_xlnm.Print_Area" localSheetId="6">④楽曲管理画面!$A$1:$BC$63</definedName>
    <definedName name="_xlnm.Print_Area" localSheetId="7">⑤変更確認ダイアログ!$A$1:$BC$55</definedName>
    <definedName name="_xlnm.Print_Area" localSheetId="8">⑥削除確認ダイアログ!$A$1:$BC$55</definedName>
    <definedName name="_xlnm.Print_Area" localSheetId="0">改版履歴!$A$1:$BD$38</definedName>
    <definedName name="_xlnm.Print_Titles" localSheetId="0">改版履歴!$1:$4</definedName>
    <definedName name="ｑｗ">[1]!CNT</definedName>
    <definedName name="RPSU">[2]ハードウェアリスト!$E$7:$E$9</definedName>
    <definedName name="SB">[2]ハードウェアリスト!$E$10:$E$11</definedName>
    <definedName name="sfgs" localSheetId="4">[1]!CNT</definedName>
    <definedName name="sfgs" localSheetId="8">[1]!CNT</definedName>
    <definedName name="sfgs">[1]!CNT</definedName>
    <definedName name="ShippingAdvice" localSheetId="5">[5]ShippingAdvice!#REF!</definedName>
    <definedName name="ShippingAdvice" localSheetId="6">[5]ShippingAdvice!#REF!</definedName>
    <definedName name="ShippingAdvice" localSheetId="7">[5]ShippingAdvice!#REF!</definedName>
    <definedName name="ShippingAdvice" localSheetId="8">[5]ShippingAdvice!#REF!</definedName>
    <definedName name="ShippingAdvice">[5]ShippingAdvice!#REF!</definedName>
    <definedName name="Soih" localSheetId="5">[5]Soih!#REF!</definedName>
    <definedName name="Soih" localSheetId="6">[5]Soih!#REF!</definedName>
    <definedName name="Soih" localSheetId="7">[5]Soih!#REF!</definedName>
    <definedName name="Soih" localSheetId="8">[5]Soih!#REF!</definedName>
    <definedName name="Soih">[5]Soih!#REF!</definedName>
    <definedName name="Soil" localSheetId="5">[5]Soil!#REF!</definedName>
    <definedName name="Soil" localSheetId="6">[5]Soil!#REF!</definedName>
    <definedName name="Soil" localSheetId="7">[5]Soil!#REF!</definedName>
    <definedName name="Soil" localSheetId="8">[5]Soil!#REF!</definedName>
    <definedName name="Soil">[5]Soil!#REF!</definedName>
    <definedName name="ｓｓｓ" localSheetId="4">[1]!CNT</definedName>
    <definedName name="ｓｓｓ">[1]!CNT</definedName>
    <definedName name="ｔｆｔ" localSheetId="3">[1]!CNT</definedName>
    <definedName name="ｔｆｔ" localSheetId="4">[1]!CNT</definedName>
    <definedName name="ｔｆｔ" localSheetId="7">[1]!CNT</definedName>
    <definedName name="ｔｆｔ" localSheetId="8">[1]!CNT</definedName>
    <definedName name="ｔｆｔ">[1]!CNT</definedName>
    <definedName name="X1153A_F" localSheetId="5">[4]ハードウェア!#REF!</definedName>
    <definedName name="X1153A_F" localSheetId="6">[4]ハードウェア!#REF!</definedName>
    <definedName name="X1153A_F" localSheetId="7">[4]ハードウェア!#REF!</definedName>
    <definedName name="X1153A_F" localSheetId="8">[4]ハードウェア!#REF!</definedName>
    <definedName name="X1153A_F">[4]ハードウェア!#REF!</definedName>
    <definedName name="あ">[1]!CNT</definedName>
    <definedName name="ぐぇえｇ" localSheetId="4">[1]!CNT</definedName>
    <definedName name="ぐぇえｇ">[1]!CNT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5" i="49" l="1"/>
  <c r="B54" i="49"/>
  <c r="B61" i="15"/>
  <c r="B60" i="15"/>
  <c r="B59" i="15"/>
  <c r="B58" i="15"/>
  <c r="B62" i="15"/>
  <c r="AT3" i="49"/>
  <c r="AL3" i="49"/>
  <c r="Y3" i="49"/>
  <c r="S3" i="49"/>
  <c r="M3" i="49"/>
  <c r="AD2" i="49"/>
  <c r="X2" i="49"/>
  <c r="R2" i="49"/>
  <c r="L2" i="49"/>
  <c r="B2" i="49"/>
  <c r="B54" i="48"/>
  <c r="B53" i="48"/>
  <c r="AT3" i="48"/>
  <c r="AL3" i="48"/>
  <c r="Y3" i="48"/>
  <c r="S3" i="48"/>
  <c r="M3" i="48"/>
  <c r="AD2" i="48"/>
  <c r="X2" i="48"/>
  <c r="R2" i="48"/>
  <c r="L2" i="48"/>
  <c r="B2" i="48"/>
  <c r="B54" i="47"/>
  <c r="B53" i="47"/>
  <c r="AT3" i="47"/>
  <c r="AL3" i="47"/>
  <c r="Y3" i="47"/>
  <c r="S3" i="47"/>
  <c r="M3" i="47"/>
  <c r="AD2" i="47"/>
  <c r="X2" i="47"/>
  <c r="R2" i="47"/>
  <c r="L2" i="47"/>
  <c r="B2" i="47"/>
  <c r="B57" i="46"/>
  <c r="B56" i="46"/>
  <c r="B55" i="46"/>
  <c r="B54" i="46"/>
  <c r="AT3" i="46"/>
  <c r="AL3" i="46"/>
  <c r="Y3" i="46"/>
  <c r="S3" i="46"/>
  <c r="M3" i="46"/>
  <c r="AD2" i="46"/>
  <c r="X2" i="46"/>
  <c r="R2" i="46"/>
  <c r="L2" i="46"/>
  <c r="B2" i="46"/>
  <c r="B61" i="45"/>
  <c r="B60" i="45"/>
  <c r="B58" i="45"/>
  <c r="B57" i="45"/>
  <c r="B59" i="45"/>
  <c r="B56" i="45"/>
  <c r="B55" i="45"/>
  <c r="B54" i="45"/>
  <c r="B62" i="45"/>
  <c r="B53" i="45"/>
  <c r="AT3" i="45"/>
  <c r="AL3" i="45"/>
  <c r="Y3" i="45"/>
  <c r="S3" i="45"/>
  <c r="M3" i="45"/>
  <c r="AD2" i="45"/>
  <c r="X2" i="45"/>
  <c r="R2" i="45"/>
  <c r="L2" i="45"/>
  <c r="B2" i="45"/>
  <c r="B54" i="15"/>
  <c r="B55" i="15"/>
  <c r="B53" i="15"/>
  <c r="B2" i="15"/>
  <c r="L2" i="15"/>
  <c r="R2" i="15"/>
  <c r="X2" i="15"/>
  <c r="AD2" i="15"/>
  <c r="M3" i="15"/>
  <c r="S3" i="15"/>
  <c r="Y3" i="15"/>
  <c r="AL3" i="15"/>
  <c r="AT3" i="15"/>
  <c r="B56" i="15"/>
  <c r="B57" i="15"/>
  <c r="AL3" i="2"/>
  <c r="B2" i="3"/>
  <c r="C9" i="2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8" i="2"/>
  <c r="B54" i="3" l="1"/>
  <c r="B57" i="3" l="1"/>
  <c r="B56" i="3"/>
  <c r="B55" i="3"/>
  <c r="AT3" i="2" l="1"/>
  <c r="Y3" i="3" l="1"/>
  <c r="S3" i="3"/>
  <c r="M3" i="3"/>
  <c r="X2" i="3"/>
  <c r="R2" i="3"/>
  <c r="L2" i="3"/>
  <c r="AD2" i="3" l="1"/>
  <c r="AY3" i="2"/>
  <c r="AY3" i="49" l="1"/>
  <c r="AY3" i="48"/>
  <c r="AY3" i="47"/>
  <c r="AP3" i="49"/>
  <c r="AP3" i="48"/>
  <c r="AP3" i="47"/>
  <c r="AY3" i="46"/>
  <c r="AY3" i="45"/>
  <c r="AY3" i="15"/>
  <c r="AP3" i="46"/>
  <c r="AP3" i="45"/>
  <c r="AP3" i="15"/>
  <c r="AY3" i="3"/>
  <c r="AL3" i="3"/>
  <c r="AP3" i="3"/>
  <c r="AT3" i="3"/>
</calcChain>
</file>

<file path=xl/sharedStrings.xml><?xml version="1.0" encoding="utf-8"?>
<sst xmlns="http://schemas.openxmlformats.org/spreadsheetml/2006/main" count="423" uniqueCount="150">
  <si>
    <t>システム</t>
    <phoneticPr fontId="5"/>
  </si>
  <si>
    <t>サブシステム</t>
    <phoneticPr fontId="5"/>
  </si>
  <si>
    <t>プログラム</t>
    <phoneticPr fontId="5"/>
  </si>
  <si>
    <t>改版履歴</t>
    <rPh sb="0" eb="2">
      <t>カイハン</t>
    </rPh>
    <rPh sb="2" eb="4">
      <t>リレキ</t>
    </rPh>
    <phoneticPr fontId="3"/>
  </si>
  <si>
    <t>作成日</t>
    <rPh sb="0" eb="3">
      <t>サクセイビ</t>
    </rPh>
    <phoneticPr fontId="5"/>
  </si>
  <si>
    <t>更新日</t>
    <rPh sb="0" eb="3">
      <t>コウシンビ</t>
    </rPh>
    <phoneticPr fontId="5"/>
  </si>
  <si>
    <t>担当者</t>
    <rPh sb="0" eb="3">
      <t>タントウシャ</t>
    </rPh>
    <phoneticPr fontId="5"/>
  </si>
  <si>
    <t>版数</t>
    <rPh sb="0" eb="2">
      <t>ハンスウ</t>
    </rPh>
    <phoneticPr fontId="5"/>
  </si>
  <si>
    <t>ID</t>
    <phoneticPr fontId="5"/>
  </si>
  <si>
    <t>№</t>
    <phoneticPr fontId="9"/>
  </si>
  <si>
    <t>変更日</t>
    <rPh sb="0" eb="3">
      <t>ヘンコウビ</t>
    </rPh>
    <phoneticPr fontId="9"/>
  </si>
  <si>
    <t>修正者</t>
    <rPh sb="0" eb="2">
      <t>シュウセイ</t>
    </rPh>
    <rPh sb="2" eb="3">
      <t>シャ</t>
    </rPh>
    <phoneticPr fontId="9"/>
  </si>
  <si>
    <t>版数</t>
    <rPh sb="0" eb="1">
      <t>ハン</t>
    </rPh>
    <rPh sb="1" eb="2">
      <t>スウ</t>
    </rPh>
    <phoneticPr fontId="9"/>
  </si>
  <si>
    <t>修正個所</t>
    <rPh sb="0" eb="2">
      <t>シュウセイ</t>
    </rPh>
    <rPh sb="2" eb="4">
      <t>カショ</t>
    </rPh>
    <phoneticPr fontId="5"/>
  </si>
  <si>
    <t>新規作成</t>
    <rPh sb="0" eb="2">
      <t>シンキ</t>
    </rPh>
    <rPh sb="2" eb="4">
      <t>サクセイ</t>
    </rPh>
    <phoneticPr fontId="5"/>
  </si>
  <si>
    <t>画面レイアウト</t>
    <rPh sb="0" eb="2">
      <t>ガメン</t>
    </rPh>
    <phoneticPr fontId="3"/>
  </si>
  <si>
    <t>No</t>
    <phoneticPr fontId="3"/>
  </si>
  <si>
    <t>項目名</t>
    <rPh sb="0" eb="2">
      <t>コウモク</t>
    </rPh>
    <rPh sb="2" eb="3">
      <t>メイ</t>
    </rPh>
    <phoneticPr fontId="3"/>
  </si>
  <si>
    <t>項目タイプ</t>
    <rPh sb="0" eb="2">
      <t>コウモク</t>
    </rPh>
    <phoneticPr fontId="3"/>
  </si>
  <si>
    <t>I/O</t>
    <phoneticPr fontId="3"/>
  </si>
  <si>
    <t>桁数</t>
    <rPh sb="0" eb="2">
      <t>ケタスウ</t>
    </rPh>
    <phoneticPr fontId="3"/>
  </si>
  <si>
    <t>デフォルト値</t>
    <rPh sb="5" eb="6">
      <t>チ</t>
    </rPh>
    <phoneticPr fontId="3"/>
  </si>
  <si>
    <t>フォーマット</t>
    <phoneticPr fontId="3"/>
  </si>
  <si>
    <t>テキスト</t>
    <phoneticPr fontId="3"/>
  </si>
  <si>
    <t>I</t>
    <phoneticPr fontId="3"/>
  </si>
  <si>
    <t>パスワード</t>
    <phoneticPr fontId="3"/>
  </si>
  <si>
    <t>ログイン</t>
    <phoneticPr fontId="3"/>
  </si>
  <si>
    <t>ボタン</t>
    <phoneticPr fontId="3"/>
  </si>
  <si>
    <t>-</t>
    <phoneticPr fontId="3"/>
  </si>
  <si>
    <t>リンク</t>
    <phoneticPr fontId="3"/>
  </si>
  <si>
    <t>テキスト</t>
    <phoneticPr fontId="3"/>
  </si>
  <si>
    <t>I</t>
    <phoneticPr fontId="3"/>
  </si>
  <si>
    <t>検索</t>
    <rPh sb="0" eb="2">
      <t>ケンサク</t>
    </rPh>
    <phoneticPr fontId="3"/>
  </si>
  <si>
    <t>O</t>
    <phoneticPr fontId="3"/>
  </si>
  <si>
    <t>備考</t>
    <rPh sb="0" eb="2">
      <t>ビコウ</t>
    </rPh>
    <phoneticPr fontId="3"/>
  </si>
  <si>
    <t>企業管理共通</t>
    <rPh sb="0" eb="2">
      <t>キギョウ</t>
    </rPh>
    <rPh sb="2" eb="4">
      <t>カンリ</t>
    </rPh>
    <rPh sb="4" eb="6">
      <t>キョウツウ</t>
    </rPh>
    <phoneticPr fontId="3"/>
  </si>
  <si>
    <t>※必須</t>
    <rPh sb="1" eb="3">
      <t>ヒッス</t>
    </rPh>
    <phoneticPr fontId="3"/>
  </si>
  <si>
    <t>新規登録</t>
    <rPh sb="0" eb="4">
      <t>シンキトウロク</t>
    </rPh>
    <phoneticPr fontId="3"/>
  </si>
  <si>
    <t>ユーザーの新規登録画面へ遷移する。</t>
    <rPh sb="5" eb="11">
      <t>シンキトウロクガメン</t>
    </rPh>
    <rPh sb="12" eb="14">
      <t>センイ</t>
    </rPh>
    <phoneticPr fontId="3"/>
  </si>
  <si>
    <t>-</t>
    <phoneticPr fontId="3"/>
  </si>
  <si>
    <t>楽曲検索システム</t>
    <rPh sb="0" eb="2">
      <t>ガッキョク</t>
    </rPh>
    <rPh sb="2" eb="4">
      <t>ケンサク</t>
    </rPh>
    <phoneticPr fontId="3"/>
  </si>
  <si>
    <t>野村　翼</t>
    <rPh sb="0" eb="2">
      <t>ノムラ</t>
    </rPh>
    <rPh sb="3" eb="4">
      <t>ツバサ</t>
    </rPh>
    <phoneticPr fontId="3"/>
  </si>
  <si>
    <t>曲名</t>
    <rPh sb="0" eb="2">
      <t>キョクメイ</t>
    </rPh>
    <phoneticPr fontId="3"/>
  </si>
  <si>
    <t>上部メニュー</t>
    <rPh sb="0" eb="2">
      <t>ジョウブ</t>
    </rPh>
    <phoneticPr fontId="3"/>
  </si>
  <si>
    <t>楽曲検索画面へ遷移する</t>
    <rPh sb="0" eb="4">
      <t>ガッキョクケンサク</t>
    </rPh>
    <rPh sb="4" eb="6">
      <t>ガメン</t>
    </rPh>
    <rPh sb="7" eb="9">
      <t>センイ</t>
    </rPh>
    <phoneticPr fontId="3"/>
  </si>
  <si>
    <t>ID、パスワードで認証を行い、問題なければ曲検索画面へ遷移する。</t>
    <rPh sb="9" eb="11">
      <t>ニンショウ</t>
    </rPh>
    <rPh sb="12" eb="13">
      <t>オコナ</t>
    </rPh>
    <rPh sb="15" eb="17">
      <t>モンダイ</t>
    </rPh>
    <rPh sb="21" eb="22">
      <t>キョク</t>
    </rPh>
    <phoneticPr fontId="3"/>
  </si>
  <si>
    <t>作曲者名</t>
    <rPh sb="0" eb="4">
      <t>サッキョクシャメイ</t>
    </rPh>
    <phoneticPr fontId="3"/>
  </si>
  <si>
    <t>年代</t>
    <rPh sb="0" eb="2">
      <t>ネンダイ</t>
    </rPh>
    <phoneticPr fontId="3"/>
  </si>
  <si>
    <t>キーワード</t>
    <phoneticPr fontId="3"/>
  </si>
  <si>
    <t>楽曲検索画面を参照</t>
    <rPh sb="0" eb="4">
      <t>ガッキョクケンサク</t>
    </rPh>
    <rPh sb="4" eb="6">
      <t>ガメン</t>
    </rPh>
    <rPh sb="7" eb="9">
      <t>サンショウ</t>
    </rPh>
    <phoneticPr fontId="3"/>
  </si>
  <si>
    <t>戻る</t>
    <rPh sb="0" eb="1">
      <t>モド</t>
    </rPh>
    <phoneticPr fontId="3"/>
  </si>
  <si>
    <t>詳細を表示する</t>
    <rPh sb="0" eb="2">
      <t>ショウサイ</t>
    </rPh>
    <rPh sb="3" eb="5">
      <t>ヒョウジ</t>
    </rPh>
    <phoneticPr fontId="3"/>
  </si>
  <si>
    <t>詳細</t>
    <rPh sb="0" eb="2">
      <t>ショウサイ</t>
    </rPh>
    <phoneticPr fontId="3"/>
  </si>
  <si>
    <t>歌詞</t>
    <rPh sb="0" eb="2">
      <t>カシ</t>
    </rPh>
    <phoneticPr fontId="3"/>
  </si>
  <si>
    <t>↓</t>
    <phoneticPr fontId="3"/>
  </si>
  <si>
    <t>変更する</t>
    <rPh sb="0" eb="2">
      <t>ヘンコウ</t>
    </rPh>
    <phoneticPr fontId="3"/>
  </si>
  <si>
    <t>削除する</t>
    <rPh sb="0" eb="2">
      <t>サクジョ</t>
    </rPh>
    <phoneticPr fontId="3"/>
  </si>
  <si>
    <t>↑</t>
    <phoneticPr fontId="3"/>
  </si>
  <si>
    <t>詳細を閉じる</t>
    <rPh sb="0" eb="2">
      <t>ショウサイ</t>
    </rPh>
    <rPh sb="3" eb="4">
      <t>ト</t>
    </rPh>
    <phoneticPr fontId="3"/>
  </si>
  <si>
    <t>データベースを更新する</t>
    <rPh sb="7" eb="9">
      <t>コウシン</t>
    </rPh>
    <phoneticPr fontId="3"/>
  </si>
  <si>
    <t>数字</t>
    <rPh sb="0" eb="2">
      <t>スウジ</t>
    </rPh>
    <phoneticPr fontId="3"/>
  </si>
  <si>
    <t>前の画面へ遷移する</t>
    <rPh sb="0" eb="1">
      <t>マエ</t>
    </rPh>
    <rPh sb="2" eb="4">
      <t>ガメン</t>
    </rPh>
    <rPh sb="5" eb="7">
      <t>センイ</t>
    </rPh>
    <phoneticPr fontId="3"/>
  </si>
  <si>
    <t>ログイン画面へ遷移する。</t>
    <rPh sb="4" eb="6">
      <t>ガメン</t>
    </rPh>
    <rPh sb="5" eb="6">
      <t>メン</t>
    </rPh>
    <rPh sb="7" eb="9">
      <t>センイ</t>
    </rPh>
    <phoneticPr fontId="3"/>
  </si>
  <si>
    <t>楽曲管理画面(編集モード)へ遷移する</t>
    <rPh sb="0" eb="1">
      <t>ラク</t>
    </rPh>
    <rPh sb="1" eb="2">
      <t>キョク</t>
    </rPh>
    <rPh sb="2" eb="6">
      <t>カンリガメン</t>
    </rPh>
    <rPh sb="7" eb="9">
      <t>ヘンシュウ</t>
    </rPh>
    <rPh sb="14" eb="16">
      <t>センイ</t>
    </rPh>
    <phoneticPr fontId="3"/>
  </si>
  <si>
    <t>楽曲管理画面(編集モード)へ遷移する</t>
    <rPh sb="0" eb="1">
      <t>ラク</t>
    </rPh>
    <rPh sb="1" eb="2">
      <t>キョク</t>
    </rPh>
    <rPh sb="2" eb="4">
      <t>カンリ</t>
    </rPh>
    <rPh sb="4" eb="6">
      <t>ガメン</t>
    </rPh>
    <rPh sb="7" eb="9">
      <t>ヘンシュウ</t>
    </rPh>
    <rPh sb="14" eb="16">
      <t>センイ</t>
    </rPh>
    <phoneticPr fontId="3"/>
  </si>
  <si>
    <t>新規登録画面を追加</t>
    <rPh sb="0" eb="6">
      <t>シンキトウロクガメン</t>
    </rPh>
    <rPh sb="7" eb="9">
      <t>ツイカ</t>
    </rPh>
    <phoneticPr fontId="3"/>
  </si>
  <si>
    <t>変更確認ダイアログを表示する</t>
    <rPh sb="0" eb="4">
      <t>ヘンコウカクニン</t>
    </rPh>
    <rPh sb="10" eb="12">
      <t>ヒョウジ</t>
    </rPh>
    <phoneticPr fontId="3"/>
  </si>
  <si>
    <t>削除確認ダイアログを表示する</t>
    <rPh sb="0" eb="2">
      <t>サクジョ</t>
    </rPh>
    <rPh sb="2" eb="4">
      <t>カクニン</t>
    </rPh>
    <rPh sb="10" eb="12">
      <t>ヒョウジ</t>
    </rPh>
    <phoneticPr fontId="3"/>
  </si>
  <si>
    <t>新規登録画面,楽曲変更,削除のダイアログを作成。桁数を調整。</t>
    <rPh sb="0" eb="6">
      <t>シンキトウロクガメン</t>
    </rPh>
    <rPh sb="7" eb="9">
      <t>ガッキョク</t>
    </rPh>
    <rPh sb="9" eb="11">
      <t>ヘンコウ</t>
    </rPh>
    <rPh sb="12" eb="14">
      <t>サクジョ</t>
    </rPh>
    <rPh sb="21" eb="23">
      <t>サクセイ</t>
    </rPh>
    <rPh sb="24" eb="26">
      <t>ケタスウ</t>
    </rPh>
    <rPh sb="27" eb="29">
      <t>チョウセイ</t>
    </rPh>
    <phoneticPr fontId="3"/>
  </si>
  <si>
    <t>登録確認ダイアログを表示する</t>
    <rPh sb="0" eb="4">
      <t>トウロクカクニン</t>
    </rPh>
    <rPh sb="10" eb="12">
      <t>ヒョウジ</t>
    </rPh>
    <phoneticPr fontId="3"/>
  </si>
  <si>
    <t>対象レコードを削除する</t>
    <rPh sb="0" eb="2">
      <t>タイショウ</t>
    </rPh>
    <rPh sb="7" eb="9">
      <t>サクジョ</t>
    </rPh>
    <phoneticPr fontId="3"/>
  </si>
  <si>
    <t>入力チェックの追加,削除対象の修正</t>
    <rPh sb="0" eb="2">
      <t>ニュウリョク</t>
    </rPh>
    <rPh sb="7" eb="9">
      <t>ツイカ</t>
    </rPh>
    <rPh sb="10" eb="14">
      <t>サクジョタイショウ</t>
    </rPh>
    <rPh sb="15" eb="17">
      <t>シュウセイ</t>
    </rPh>
    <phoneticPr fontId="3"/>
  </si>
  <si>
    <t>曲名で検索を行い、検索結果を表示する。</t>
    <rPh sb="0" eb="1">
      <t>キョク</t>
    </rPh>
    <rPh sb="1" eb="2">
      <t>メイ</t>
    </rPh>
    <rPh sb="3" eb="5">
      <t>ケンサク</t>
    </rPh>
    <rPh sb="6" eb="7">
      <t>オコナ</t>
    </rPh>
    <rPh sb="9" eb="11">
      <t>ケンサク</t>
    </rPh>
    <rPh sb="11" eb="13">
      <t>ケッカ</t>
    </rPh>
    <rPh sb="14" eb="16">
      <t>ヒョウジ</t>
    </rPh>
    <phoneticPr fontId="3"/>
  </si>
  <si>
    <t>楽曲検索画面と検索結果表示画面の統合</t>
    <rPh sb="0" eb="6">
      <t>ガッキョクケンサクガメン</t>
    </rPh>
    <rPh sb="7" eb="13">
      <t>ケンサクケッカヒョウジ</t>
    </rPh>
    <rPh sb="13" eb="15">
      <t>ガメン</t>
    </rPh>
    <rPh sb="16" eb="18">
      <t>トウゴウ</t>
    </rPh>
    <phoneticPr fontId="3"/>
  </si>
  <si>
    <t>年代のプルダウンを削除(選択肢が多すぎるため)。ログイン画面の桁数を調整</t>
    <rPh sb="0" eb="2">
      <t>ネンダイ</t>
    </rPh>
    <rPh sb="9" eb="11">
      <t>サクジョ</t>
    </rPh>
    <rPh sb="12" eb="15">
      <t>センタクシ</t>
    </rPh>
    <rPh sb="16" eb="17">
      <t>オオ</t>
    </rPh>
    <rPh sb="28" eb="30">
      <t>ガメン</t>
    </rPh>
    <rPh sb="31" eb="33">
      <t>ケタスウ</t>
    </rPh>
    <rPh sb="34" eb="36">
      <t>チョウセイ</t>
    </rPh>
    <phoneticPr fontId="3"/>
  </si>
  <si>
    <t>パス一覧(ファイルの場所)</t>
    <rPh sb="2" eb="4">
      <t>イチラン</t>
    </rPh>
    <rPh sb="10" eb="12">
      <t>バショ</t>
    </rPh>
    <phoneticPr fontId="3"/>
  </si>
  <si>
    <t>sample001</t>
  </si>
  <si>
    <t>→</t>
  </si>
  <si>
    <t>Controllers</t>
  </si>
  <si>
    <t>BaseController.cs</t>
  </si>
  <si>
    <t>Home</t>
  </si>
  <si>
    <t>Home</t>
    <phoneticPr fontId="3"/>
  </si>
  <si>
    <t>HomeController.cs</t>
  </si>
  <si>
    <t>LoginController.cs</t>
  </si>
  <si>
    <t>※主要なファイルのみ抜粋</t>
    <rPh sb="1" eb="3">
      <t>シュヨウ</t>
    </rPh>
    <rPh sb="10" eb="12">
      <t>バッスイ</t>
    </rPh>
    <phoneticPr fontId="3"/>
  </si>
  <si>
    <t>↓</t>
  </si>
  <si>
    <t>Index.cshtml</t>
  </si>
  <si>
    <t>Edit.cshtml</t>
  </si>
  <si>
    <t>Models</t>
  </si>
  <si>
    <t>CommonModel.cs</t>
  </si>
  <si>
    <t>Entity</t>
  </si>
  <si>
    <t>MTLoginEntity.cs</t>
  </si>
  <si>
    <t>MTSongEntity.cs</t>
  </si>
  <si>
    <t>ErrorViewModel.cs</t>
  </si>
  <si>
    <t>SongDbContext.cs</t>
  </si>
  <si>
    <t>Services</t>
  </si>
  <si>
    <t>SongModel.cs</t>
  </si>
  <si>
    <t>ViewModel</t>
  </si>
  <si>
    <t>LoginViewModel.cs</t>
  </si>
  <si>
    <t>SongEditViewModel.cs</t>
  </si>
  <si>
    <t>SongIndexViewModel.cs</t>
  </si>
  <si>
    <t>Views</t>
  </si>
  <si>
    <t>Privacy.cshtml</t>
  </si>
  <si>
    <t>Login</t>
  </si>
  <si>
    <t>Login.cshtml</t>
  </si>
  <si>
    <t>Shared</t>
  </si>
  <si>
    <t>Error.cshtml</t>
  </si>
  <si>
    <t>_Layout.cshtml</t>
  </si>
  <si>
    <t>_Layout.cshtml.css</t>
  </si>
  <si>
    <t>_ValidationScriptsPartial.cshtml</t>
  </si>
  <si>
    <t>_ViewImports.cshtml</t>
  </si>
  <si>
    <t>_ViewStart.cshtml</t>
  </si>
  <si>
    <t>ユーザー名</t>
    <rPh sb="4" eb="5">
      <t>メイ</t>
    </rPh>
    <phoneticPr fontId="3"/>
  </si>
  <si>
    <t>新規作成</t>
    <rPh sb="0" eb="4">
      <t>シンキサクセイ</t>
    </rPh>
    <phoneticPr fontId="3"/>
  </si>
  <si>
    <t>OK</t>
    <phoneticPr fontId="3"/>
  </si>
  <si>
    <t>キャンセル</t>
    <phoneticPr fontId="3"/>
  </si>
  <si>
    <t>Privacy</t>
    <phoneticPr fontId="3"/>
  </si>
  <si>
    <t>デフォルトのPrivacy画面へ遷移する</t>
    <rPh sb="13" eb="15">
      <t>ガメン</t>
    </rPh>
    <rPh sb="16" eb="18">
      <t>センイ</t>
    </rPh>
    <phoneticPr fontId="3"/>
  </si>
  <si>
    <t>追加</t>
    <rPh sb="0" eb="2">
      <t>ツイカ</t>
    </rPh>
    <phoneticPr fontId="3"/>
  </si>
  <si>
    <t>一覧表の追加</t>
    <rPh sb="0" eb="3">
      <t>イチランヒョウ</t>
    </rPh>
    <rPh sb="4" eb="6">
      <t>ツイカ</t>
    </rPh>
    <phoneticPr fontId="3"/>
  </si>
  <si>
    <t>対応箇所(Login.cshtml)</t>
    <rPh sb="0" eb="2">
      <t>タイオウ</t>
    </rPh>
    <rPh sb="2" eb="4">
      <t>カショ</t>
    </rPh>
    <phoneticPr fontId="3"/>
  </si>
  <si>
    <t>24～29行</t>
    <rPh sb="5" eb="6">
      <t>ギョウ</t>
    </rPh>
    <phoneticPr fontId="3"/>
  </si>
  <si>
    <t>15～18行</t>
    <phoneticPr fontId="3"/>
  </si>
  <si>
    <t>19～22行</t>
    <phoneticPr fontId="3"/>
  </si>
  <si>
    <t>23行</t>
    <rPh sb="2" eb="3">
      <t>ギョウ</t>
    </rPh>
    <phoneticPr fontId="3"/>
  </si>
  <si>
    <t>対応箇所(LEdit.cshtml)</t>
    <rPh sb="0" eb="2">
      <t>タイオウ</t>
    </rPh>
    <rPh sb="2" eb="4">
      <t>カショ</t>
    </rPh>
    <phoneticPr fontId="3"/>
  </si>
  <si>
    <t>11行</t>
    <rPh sb="2" eb="3">
      <t>ギョウ</t>
    </rPh>
    <phoneticPr fontId="3"/>
  </si>
  <si>
    <t>16～19行</t>
    <rPh sb="5" eb="6">
      <t>ギョウ</t>
    </rPh>
    <phoneticPr fontId="3"/>
  </si>
  <si>
    <t>20～23行</t>
    <rPh sb="5" eb="6">
      <t>ギョウ</t>
    </rPh>
    <phoneticPr fontId="3"/>
  </si>
  <si>
    <t>24行</t>
    <rPh sb="2" eb="3">
      <t>ギョウ</t>
    </rPh>
    <phoneticPr fontId="3"/>
  </si>
  <si>
    <t>対応箇所(Index.cshtml)</t>
    <rPh sb="0" eb="2">
      <t>タイオウ</t>
    </rPh>
    <rPh sb="2" eb="4">
      <t>カショ</t>
    </rPh>
    <phoneticPr fontId="3"/>
  </si>
  <si>
    <t>_Layout.cshtml(この区間のみ)</t>
    <rPh sb="17" eb="19">
      <t>クカン</t>
    </rPh>
    <phoneticPr fontId="3"/>
  </si>
  <si>
    <t>23～25行</t>
    <rPh sb="5" eb="6">
      <t>ギョウ</t>
    </rPh>
    <phoneticPr fontId="3"/>
  </si>
  <si>
    <t>26～28行</t>
    <rPh sb="5" eb="6">
      <t>ギョウ</t>
    </rPh>
    <phoneticPr fontId="3"/>
  </si>
  <si>
    <t>12行</t>
    <rPh sb="2" eb="3">
      <t>ギョウ</t>
    </rPh>
    <phoneticPr fontId="3"/>
  </si>
  <si>
    <t>49～65行</t>
    <rPh sb="5" eb="6">
      <t>ギョウ</t>
    </rPh>
    <phoneticPr fontId="3"/>
  </si>
  <si>
    <t>58～62行</t>
    <rPh sb="5" eb="6">
      <t>ギョウ</t>
    </rPh>
    <phoneticPr fontId="3"/>
  </si>
  <si>
    <t>42～47行,71～81行</t>
    <rPh sb="5" eb="6">
      <t>ギョウ</t>
    </rPh>
    <rPh sb="12" eb="13">
      <t>ギョウ</t>
    </rPh>
    <phoneticPr fontId="3"/>
  </si>
  <si>
    <t>16～20行</t>
    <rPh sb="5" eb="6">
      <t>ギョウ</t>
    </rPh>
    <phoneticPr fontId="3"/>
  </si>
  <si>
    <t>対応箇所(HEdit.cshtml)</t>
    <rPh sb="0" eb="2">
      <t>タイオウ</t>
    </rPh>
    <rPh sb="2" eb="4">
      <t>カショ</t>
    </rPh>
    <phoneticPr fontId="3"/>
  </si>
  <si>
    <t>17～21行</t>
    <rPh sb="5" eb="6">
      <t>ギョウ</t>
    </rPh>
    <phoneticPr fontId="3"/>
  </si>
  <si>
    <t>22～26行</t>
    <rPh sb="5" eb="6">
      <t>ギョウ</t>
    </rPh>
    <phoneticPr fontId="3"/>
  </si>
  <si>
    <t>27～31行</t>
    <rPh sb="5" eb="6">
      <t>ギョウ</t>
    </rPh>
    <phoneticPr fontId="3"/>
  </si>
  <si>
    <t>グループ名</t>
    <rPh sb="4" eb="5">
      <t>メイ</t>
    </rPh>
    <phoneticPr fontId="3"/>
  </si>
  <si>
    <t>32～36行</t>
    <rPh sb="5" eb="6">
      <t>ギョウ</t>
    </rPh>
    <phoneticPr fontId="3"/>
  </si>
  <si>
    <t>37～41行</t>
    <rPh sb="5" eb="6">
      <t>ギョウ</t>
    </rPh>
    <phoneticPr fontId="3"/>
  </si>
  <si>
    <t>42行</t>
    <rPh sb="2" eb="3">
      <t>ギョウ</t>
    </rPh>
    <phoneticPr fontId="3"/>
  </si>
  <si>
    <t>44行</t>
    <rPh sb="2" eb="3">
      <t>ギョウ</t>
    </rPh>
    <phoneticPr fontId="3"/>
  </si>
  <si>
    <t>9行</t>
    <rPh sb="1" eb="2">
      <t>ギョウ</t>
    </rPh>
    <phoneticPr fontId="3"/>
  </si>
  <si>
    <t>※基本設計書の部分</t>
    <rPh sb="1" eb="3">
      <t>キホン</t>
    </rPh>
    <rPh sb="3" eb="6">
      <t>セッケイショ</t>
    </rPh>
    <rPh sb="7" eb="9">
      <t>ブブン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</si>
</sst>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);[Red]\(0.0\)"/>
    <numFmt numFmtId="177" formatCode="m/d"/>
  </numFmts>
  <fonts count="19">
    <font>
      <sz val="11"/>
      <color theme="1"/>
      <name val="Yu Gothic"/>
      <family val="2"/>
      <scheme val="minor"/>
    </font>
    <font>
      <sz val="11"/>
      <name val="ＭＳ Ｐゴシック"/>
      <family val="3"/>
      <charset val="128"/>
    </font>
    <font>
      <sz val="9"/>
      <name val="Meiryo UI"/>
      <family val="3"/>
      <charset val="128"/>
    </font>
    <font>
      <sz val="6"/>
      <name val="Yu Gothic"/>
      <family val="3"/>
      <charset val="128"/>
      <scheme val="minor"/>
    </font>
    <font>
      <sz val="12"/>
      <name val="Meiryo UI"/>
      <family val="3"/>
      <charset val="128"/>
    </font>
    <font>
      <sz val="14"/>
      <name val="ＭＳ Ｐゴシック"/>
      <family val="3"/>
      <charset val="128"/>
    </font>
    <font>
      <b/>
      <sz val="14"/>
      <name val="Meiryo UI"/>
      <family val="3"/>
      <charset val="128"/>
    </font>
    <font>
      <sz val="14"/>
      <name val="Meiryo UI"/>
      <family val="3"/>
      <charset val="128"/>
    </font>
    <font>
      <b/>
      <sz val="9"/>
      <name val="Meiryo UI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8"/>
      <color theme="1"/>
      <name val="Meiryo UI"/>
      <family val="3"/>
      <charset val="128"/>
    </font>
    <font>
      <sz val="8"/>
      <name val="Meiryo UI"/>
      <family val="3"/>
      <charset val="128"/>
    </font>
    <font>
      <sz val="14"/>
      <color theme="1"/>
      <name val="Meiryo UI"/>
      <family val="3"/>
      <charset val="128"/>
    </font>
    <font>
      <sz val="20"/>
      <color theme="1"/>
      <name val="Meiryo UI"/>
      <family val="3"/>
      <charset val="128"/>
    </font>
    <font>
      <sz val="36"/>
      <color theme="1"/>
      <name val="Meiryo UI"/>
      <family val="3"/>
      <charset val="128"/>
    </font>
    <font>
      <u/>
      <sz val="11"/>
      <color theme="1"/>
      <name val="Meiryo UI"/>
      <family val="3"/>
      <charset val="128"/>
    </font>
    <font>
      <sz val="11"/>
      <color theme="1"/>
      <name val="Arial"/>
      <family val="2"/>
    </font>
    <font>
      <sz val="11"/>
      <color rgb="FFFF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56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64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indexed="64"/>
      </top>
      <bottom/>
      <diagonal/>
    </border>
    <border>
      <left style="medium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>
      <alignment vertical="center"/>
    </xf>
  </cellStyleXfs>
  <cellXfs count="262">
    <xf numFmtId="0" fontId="0" fillId="0" borderId="0" xfId="0"/>
    <xf numFmtId="0" fontId="2" fillId="0" borderId="0" xfId="1" applyFont="1" applyAlignment="1">
      <alignment horizontal="left"/>
    </xf>
    <xf numFmtId="0" fontId="2" fillId="0" borderId="0" xfId="1" applyFont="1" applyAlignment="1">
      <alignment horizontal="center"/>
    </xf>
    <xf numFmtId="0" fontId="2" fillId="0" borderId="0" xfId="1" applyFont="1" applyAlignment="1">
      <alignment horizontal="left" vertical="center"/>
    </xf>
    <xf numFmtId="0" fontId="2" fillId="0" borderId="11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15" xfId="1" applyFont="1" applyBorder="1" applyAlignment="1">
      <alignment horizontal="center" vertical="center"/>
    </xf>
    <xf numFmtId="0" fontId="2" fillId="0" borderId="19" xfId="1" applyFont="1" applyBorder="1" applyAlignment="1">
      <alignment horizontal="left"/>
    </xf>
    <xf numFmtId="0" fontId="2" fillId="0" borderId="0" xfId="1" applyFont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" fillId="0" borderId="0" xfId="2" applyFont="1" applyAlignment="1">
      <alignment horizontal="left" vertical="center"/>
    </xf>
    <xf numFmtId="0" fontId="6" fillId="0" borderId="8" xfId="2" applyFont="1" applyBorder="1" applyAlignment="1" applyProtection="1">
      <alignment horizontal="left" vertical="center"/>
      <protection locked="0"/>
    </xf>
    <xf numFmtId="0" fontId="7" fillId="0" borderId="9" xfId="2" applyFont="1" applyBorder="1" applyAlignment="1" applyProtection="1">
      <alignment vertical="center"/>
      <protection locked="0"/>
    </xf>
    <xf numFmtId="0" fontId="6" fillId="0" borderId="10" xfId="2" applyFont="1" applyBorder="1" applyAlignment="1" applyProtection="1">
      <alignment horizontal="left" vertical="center"/>
      <protection locked="0"/>
    </xf>
    <xf numFmtId="0" fontId="2" fillId="0" borderId="0" xfId="2" applyFont="1" applyAlignment="1">
      <alignment horizontal="center" wrapText="1"/>
    </xf>
    <xf numFmtId="0" fontId="8" fillId="0" borderId="20" xfId="2" applyFont="1" applyBorder="1" applyAlignment="1" applyProtection="1">
      <alignment horizontal="left" vertical="center"/>
      <protection locked="0"/>
    </xf>
    <xf numFmtId="0" fontId="8" fillId="0" borderId="21" xfId="2" applyFont="1" applyBorder="1" applyAlignment="1" applyProtection="1">
      <alignment horizontal="left" vertical="center"/>
      <protection locked="0"/>
    </xf>
    <xf numFmtId="0" fontId="2" fillId="0" borderId="0" xfId="2" applyFont="1" applyAlignment="1">
      <alignment horizontal="center" vertical="top" wrapText="1"/>
    </xf>
    <xf numFmtId="0" fontId="2" fillId="0" borderId="0" xfId="2" applyFont="1" applyAlignment="1">
      <alignment vertical="center"/>
    </xf>
    <xf numFmtId="0" fontId="2" fillId="0" borderId="20" xfId="2" applyFont="1" applyBorder="1" applyProtection="1">
      <protection locked="0"/>
    </xf>
    <xf numFmtId="0" fontId="2" fillId="2" borderId="5" xfId="3" applyFont="1" applyFill="1" applyBorder="1">
      <alignment vertical="center"/>
    </xf>
    <xf numFmtId="0" fontId="2" fillId="2" borderId="6" xfId="3" applyFont="1" applyFill="1" applyBorder="1">
      <alignment vertical="center"/>
    </xf>
    <xf numFmtId="0" fontId="2" fillId="0" borderId="21" xfId="2" applyFont="1" applyBorder="1"/>
    <xf numFmtId="177" fontId="2" fillId="0" borderId="0" xfId="2" applyNumberFormat="1" applyFont="1" applyAlignment="1" applyProtection="1">
      <alignment vertical="center" shrinkToFit="1"/>
      <protection locked="0"/>
    </xf>
    <xf numFmtId="0" fontId="2" fillId="2" borderId="17" xfId="3" applyFont="1" applyFill="1" applyBorder="1">
      <alignment vertical="center"/>
    </xf>
    <xf numFmtId="0" fontId="2" fillId="2" borderId="18" xfId="3" applyFont="1" applyFill="1" applyBorder="1">
      <alignment vertical="center"/>
    </xf>
    <xf numFmtId="0" fontId="2" fillId="0" borderId="21" xfId="2" applyFont="1" applyBorder="1" applyProtection="1">
      <protection locked="0"/>
    </xf>
    <xf numFmtId="0" fontId="2" fillId="2" borderId="7" xfId="3" applyFont="1" applyFill="1" applyBorder="1">
      <alignment vertical="center"/>
    </xf>
    <xf numFmtId="0" fontId="2" fillId="0" borderId="16" xfId="2" applyFont="1" applyBorder="1" applyProtection="1">
      <protection locked="0"/>
    </xf>
    <xf numFmtId="0" fontId="2" fillId="0" borderId="17" xfId="2" applyFont="1" applyBorder="1" applyAlignment="1">
      <alignment vertical="center"/>
    </xf>
    <xf numFmtId="0" fontId="2" fillId="0" borderId="17" xfId="2" applyFont="1" applyBorder="1"/>
    <xf numFmtId="0" fontId="2" fillId="0" borderId="17" xfId="2" applyFont="1" applyBorder="1" applyProtection="1">
      <protection locked="0"/>
    </xf>
    <xf numFmtId="0" fontId="2" fillId="0" borderId="18" xfId="2" applyFont="1" applyBorder="1" applyProtection="1">
      <protection locked="0"/>
    </xf>
    <xf numFmtId="0" fontId="2" fillId="0" borderId="0" xfId="2" applyFont="1" applyAlignment="1">
      <alignment horizontal="left"/>
    </xf>
    <xf numFmtId="0" fontId="2" fillId="0" borderId="0" xfId="2" applyFont="1" applyAlignment="1">
      <alignment horizontal="center"/>
    </xf>
    <xf numFmtId="14" fontId="2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/>
    <xf numFmtId="0" fontId="10" fillId="0" borderId="23" xfId="0" applyFont="1" applyBorder="1"/>
    <xf numFmtId="0" fontId="10" fillId="0" borderId="24" xfId="0" applyFont="1" applyBorder="1"/>
    <xf numFmtId="0" fontId="10" fillId="0" borderId="25" xfId="0" applyFont="1" applyBorder="1"/>
    <xf numFmtId="0" fontId="10" fillId="0" borderId="26" xfId="0" applyFont="1" applyBorder="1"/>
    <xf numFmtId="0" fontId="10" fillId="0" borderId="27" xfId="0" applyFont="1" applyBorder="1"/>
    <xf numFmtId="0" fontId="10" fillId="0" borderId="28" xfId="0" applyFont="1" applyBorder="1"/>
    <xf numFmtId="0" fontId="10" fillId="0" borderId="29" xfId="0" applyFont="1" applyBorder="1"/>
    <xf numFmtId="0" fontId="10" fillId="0" borderId="19" xfId="0" applyFont="1" applyBorder="1"/>
    <xf numFmtId="0" fontId="10" fillId="3" borderId="30" xfId="0" applyFont="1" applyFill="1" applyBorder="1" applyAlignment="1">
      <alignment vertical="center"/>
    </xf>
    <xf numFmtId="0" fontId="10" fillId="3" borderId="22" xfId="0" applyFont="1" applyFill="1" applyBorder="1" applyAlignment="1">
      <alignment vertical="center"/>
    </xf>
    <xf numFmtId="0" fontId="10" fillId="3" borderId="22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vertical="center"/>
    </xf>
    <xf numFmtId="0" fontId="10" fillId="3" borderId="32" xfId="0" applyFont="1" applyFill="1" applyBorder="1" applyAlignment="1">
      <alignment vertical="center"/>
    </xf>
    <xf numFmtId="0" fontId="10" fillId="3" borderId="33" xfId="0" applyFont="1" applyFill="1" applyBorder="1" applyAlignment="1">
      <alignment vertical="center"/>
    </xf>
    <xf numFmtId="0" fontId="10" fillId="0" borderId="34" xfId="0" applyFont="1" applyBorder="1"/>
    <xf numFmtId="0" fontId="10" fillId="0" borderId="7" xfId="0" applyFont="1" applyBorder="1"/>
    <xf numFmtId="0" fontId="10" fillId="0" borderId="5" xfId="0" applyFont="1" applyBorder="1"/>
    <xf numFmtId="0" fontId="10" fillId="0" borderId="6" xfId="0" applyFont="1" applyBorder="1"/>
    <xf numFmtId="0" fontId="10" fillId="0" borderId="36" xfId="0" applyFont="1" applyBorder="1"/>
    <xf numFmtId="0" fontId="10" fillId="0" borderId="37" xfId="0" applyFont="1" applyBorder="1"/>
    <xf numFmtId="0" fontId="10" fillId="0" borderId="38" xfId="0" applyFont="1" applyBorder="1"/>
    <xf numFmtId="0" fontId="10" fillId="0" borderId="39" xfId="0" applyFont="1" applyBorder="1"/>
    <xf numFmtId="0" fontId="10" fillId="0" borderId="41" xfId="0" applyFont="1" applyBorder="1"/>
    <xf numFmtId="0" fontId="10" fillId="0" borderId="42" xfId="0" applyFont="1" applyBorder="1"/>
    <xf numFmtId="0" fontId="10" fillId="0" borderId="43" xfId="0" applyFont="1" applyBorder="1"/>
    <xf numFmtId="0" fontId="10" fillId="0" borderId="8" xfId="0" applyFont="1" applyBorder="1"/>
    <xf numFmtId="0" fontId="10" fillId="0" borderId="9" xfId="0" applyFont="1" applyBorder="1"/>
    <xf numFmtId="0" fontId="10" fillId="0" borderId="16" xfId="0" applyFont="1" applyBorder="1"/>
    <xf numFmtId="0" fontId="10" fillId="0" borderId="45" xfId="0" applyFont="1" applyBorder="1"/>
    <xf numFmtId="0" fontId="10" fillId="0" borderId="46" xfId="0" applyFont="1" applyBorder="1"/>
    <xf numFmtId="0" fontId="10" fillId="4" borderId="20" xfId="0" applyFont="1" applyFill="1" applyBorder="1" applyAlignment="1">
      <alignment vertical="center"/>
    </xf>
    <xf numFmtId="0" fontId="10" fillId="4" borderId="21" xfId="0" applyFont="1" applyFill="1" applyBorder="1" applyAlignment="1">
      <alignment vertical="center"/>
    </xf>
    <xf numFmtId="0" fontId="10" fillId="4" borderId="8" xfId="0" applyFont="1" applyFill="1" applyBorder="1" applyAlignment="1">
      <alignment vertical="center"/>
    </xf>
    <xf numFmtId="0" fontId="10" fillId="4" borderId="5" xfId="0" applyFont="1" applyFill="1" applyBorder="1" applyAlignment="1">
      <alignment vertical="center"/>
    </xf>
    <xf numFmtId="0" fontId="10" fillId="4" borderId="9" xfId="0" applyFont="1" applyFill="1" applyBorder="1" applyAlignment="1">
      <alignment vertical="center"/>
    </xf>
    <xf numFmtId="0" fontId="10" fillId="4" borderId="10" xfId="0" applyFont="1" applyFill="1" applyBorder="1" applyAlignment="1">
      <alignment vertical="center"/>
    </xf>
    <xf numFmtId="0" fontId="10" fillId="4" borderId="44" xfId="0" applyFont="1" applyFill="1" applyBorder="1" applyAlignment="1">
      <alignment vertical="center"/>
    </xf>
    <xf numFmtId="0" fontId="10" fillId="4" borderId="7" xfId="0" applyFont="1" applyFill="1" applyBorder="1" applyAlignment="1">
      <alignment vertical="center"/>
    </xf>
    <xf numFmtId="0" fontId="10" fillId="4" borderId="6" xfId="0" applyFont="1" applyFill="1" applyBorder="1" applyAlignment="1">
      <alignment vertical="center"/>
    </xf>
    <xf numFmtId="0" fontId="10" fillId="0" borderId="47" xfId="0" applyFont="1" applyBorder="1"/>
    <xf numFmtId="0" fontId="10" fillId="0" borderId="49" xfId="0" applyFont="1" applyBorder="1"/>
    <xf numFmtId="0" fontId="10" fillId="0" borderId="50" xfId="0" applyFont="1" applyBorder="1"/>
    <xf numFmtId="0" fontId="10" fillId="4" borderId="0" xfId="0" applyFont="1" applyFill="1"/>
    <xf numFmtId="0" fontId="10" fillId="4" borderId="0" xfId="0" applyFont="1" applyFill="1" applyAlignment="1">
      <alignment vertical="center"/>
    </xf>
    <xf numFmtId="0" fontId="10" fillId="4" borderId="9" xfId="0" applyFont="1" applyFill="1" applyBorder="1"/>
    <xf numFmtId="0" fontId="10" fillId="4" borderId="43" xfId="0" applyFont="1" applyFill="1" applyBorder="1" applyAlignment="1">
      <alignment vertical="center"/>
    </xf>
    <xf numFmtId="0" fontId="10" fillId="4" borderId="5" xfId="0" applyFont="1" applyFill="1" applyBorder="1"/>
    <xf numFmtId="0" fontId="16" fillId="4" borderId="9" xfId="0" applyFont="1" applyFill="1" applyBorder="1" applyAlignment="1">
      <alignment vertical="center"/>
    </xf>
    <xf numFmtId="0" fontId="16" fillId="4" borderId="44" xfId="0" applyFont="1" applyFill="1" applyBorder="1" applyAlignment="1">
      <alignment vertical="center"/>
    </xf>
    <xf numFmtId="0" fontId="10" fillId="4" borderId="37" xfId="0" applyFont="1" applyFill="1" applyBorder="1" applyAlignment="1">
      <alignment vertical="center"/>
    </xf>
    <xf numFmtId="0" fontId="10" fillId="4" borderId="38" xfId="0" applyFont="1" applyFill="1" applyBorder="1" applyAlignment="1">
      <alignment vertical="center"/>
    </xf>
    <xf numFmtId="0" fontId="10" fillId="4" borderId="39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right" vertical="center" wrapText="1"/>
    </xf>
    <xf numFmtId="0" fontId="2" fillId="0" borderId="15" xfId="0" applyFont="1" applyBorder="1" applyAlignment="1">
      <alignment horizontal="righ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shrinkToFit="1"/>
    </xf>
    <xf numFmtId="0" fontId="2" fillId="0" borderId="5" xfId="0" applyFont="1" applyBorder="1" applyAlignment="1">
      <alignment horizontal="left" vertical="center" shrinkToFit="1"/>
    </xf>
    <xf numFmtId="0" fontId="2" fillId="0" borderId="6" xfId="0" applyFont="1" applyBorder="1" applyAlignment="1">
      <alignment horizontal="left" vertical="center" shrinkToFit="1"/>
    </xf>
    <xf numFmtId="14" fontId="2" fillId="0" borderId="7" xfId="0" applyNumberFormat="1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shrinkToFit="1"/>
    </xf>
    <xf numFmtId="0" fontId="2" fillId="0" borderId="5" xfId="0" applyFont="1" applyBorder="1" applyAlignment="1">
      <alignment horizontal="center" vertical="center" shrinkToFit="1"/>
    </xf>
    <xf numFmtId="0" fontId="2" fillId="0" borderId="6" xfId="0" applyFont="1" applyBorder="1" applyAlignment="1">
      <alignment horizontal="center" vertical="center" shrinkToFit="1"/>
    </xf>
    <xf numFmtId="0" fontId="10" fillId="3" borderId="32" xfId="0" applyFont="1" applyFill="1" applyBorder="1" applyAlignment="1">
      <alignment horizontal="center" vertical="center"/>
    </xf>
    <xf numFmtId="0" fontId="10" fillId="3" borderId="3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0" fillId="0" borderId="40" xfId="0" applyFont="1" applyBorder="1" applyAlignment="1">
      <alignment horizontal="center"/>
    </xf>
    <xf numFmtId="0" fontId="10" fillId="0" borderId="48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2" fillId="2" borderId="7" xfId="3" applyFont="1" applyFill="1" applyBorder="1" applyAlignment="1">
      <alignment horizontal="center" vertical="center"/>
    </xf>
    <xf numFmtId="0" fontId="2" fillId="2" borderId="6" xfId="3" applyFont="1" applyFill="1" applyBorder="1" applyAlignment="1">
      <alignment horizontal="center" vertical="center"/>
    </xf>
    <xf numFmtId="14" fontId="2" fillId="2" borderId="7" xfId="3" quotePrefix="1" applyNumberFormat="1" applyFont="1" applyFill="1" applyBorder="1" applyAlignment="1">
      <alignment horizontal="center" vertical="center"/>
    </xf>
    <xf numFmtId="14" fontId="2" fillId="2" borderId="5" xfId="3" quotePrefix="1" applyNumberFormat="1" applyFont="1" applyFill="1" applyBorder="1" applyAlignment="1">
      <alignment horizontal="center" vertical="center"/>
    </xf>
    <xf numFmtId="14" fontId="2" fillId="2" borderId="6" xfId="3" quotePrefix="1" applyNumberFormat="1" applyFont="1" applyFill="1" applyBorder="1" applyAlignment="1">
      <alignment horizontal="center" vertical="center"/>
    </xf>
    <xf numFmtId="0" fontId="2" fillId="2" borderId="5" xfId="3" applyFont="1" applyFill="1" applyBorder="1" applyAlignment="1">
      <alignment horizontal="center" vertical="center"/>
    </xf>
    <xf numFmtId="176" fontId="2" fillId="2" borderId="7" xfId="3" applyNumberFormat="1" applyFont="1" applyFill="1" applyBorder="1" applyAlignment="1">
      <alignment horizontal="center" vertical="center"/>
    </xf>
    <xf numFmtId="176" fontId="2" fillId="2" borderId="5" xfId="3" quotePrefix="1" applyNumberFormat="1" applyFont="1" applyFill="1" applyBorder="1" applyAlignment="1">
      <alignment horizontal="center" vertical="center"/>
    </xf>
    <xf numFmtId="176" fontId="2" fillId="2" borderId="6" xfId="3" quotePrefix="1" applyNumberFormat="1" applyFont="1" applyFill="1" applyBorder="1" applyAlignment="1">
      <alignment horizontal="center" vertical="center"/>
    </xf>
    <xf numFmtId="14" fontId="2" fillId="2" borderId="16" xfId="3" quotePrefix="1" applyNumberFormat="1" applyFont="1" applyFill="1" applyBorder="1" applyAlignment="1">
      <alignment horizontal="center" vertical="center"/>
    </xf>
    <xf numFmtId="14" fontId="2" fillId="2" borderId="17" xfId="3" quotePrefix="1" applyNumberFormat="1" applyFont="1" applyFill="1" applyBorder="1" applyAlignment="1">
      <alignment horizontal="center" vertical="center"/>
    </xf>
    <xf numFmtId="14" fontId="2" fillId="2" borderId="18" xfId="3" quotePrefix="1" applyNumberFormat="1" applyFont="1" applyFill="1" applyBorder="1" applyAlignment="1">
      <alignment horizontal="center" vertical="center"/>
    </xf>
    <xf numFmtId="0" fontId="2" fillId="2" borderId="16" xfId="3" applyFont="1" applyFill="1" applyBorder="1" applyAlignment="1">
      <alignment horizontal="center" vertical="center"/>
    </xf>
    <xf numFmtId="0" fontId="2" fillId="2" borderId="17" xfId="3" applyFont="1" applyFill="1" applyBorder="1" applyAlignment="1">
      <alignment horizontal="center" vertical="center"/>
    </xf>
    <xf numFmtId="0" fontId="2" fillId="2" borderId="18" xfId="3" applyFont="1" applyFill="1" applyBorder="1" applyAlignment="1">
      <alignment horizontal="center" vertical="center"/>
    </xf>
    <xf numFmtId="176" fontId="2" fillId="2" borderId="16" xfId="3" applyNumberFormat="1" applyFont="1" applyFill="1" applyBorder="1" applyAlignment="1">
      <alignment horizontal="center" vertical="center"/>
    </xf>
    <xf numFmtId="176" fontId="2" fillId="2" borderId="17" xfId="3" quotePrefix="1" applyNumberFormat="1" applyFont="1" applyFill="1" applyBorder="1" applyAlignment="1">
      <alignment horizontal="center" vertical="center"/>
    </xf>
    <xf numFmtId="176" fontId="2" fillId="2" borderId="18" xfId="3" quotePrefix="1" applyNumberFormat="1" applyFont="1" applyFill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" fillId="2" borderId="7" xfId="3" applyFont="1" applyFill="1" applyBorder="1" applyAlignment="1">
      <alignment vertical="center" wrapText="1"/>
    </xf>
    <xf numFmtId="0" fontId="2" fillId="2" borderId="5" xfId="3" applyFont="1" applyFill="1" applyBorder="1">
      <alignment vertical="center"/>
    </xf>
    <xf numFmtId="0" fontId="2" fillId="2" borderId="6" xfId="3" applyFont="1" applyFill="1" applyBorder="1">
      <alignment vertical="center"/>
    </xf>
    <xf numFmtId="0" fontId="8" fillId="3" borderId="7" xfId="3" applyFont="1" applyFill="1" applyBorder="1" applyAlignment="1">
      <alignment horizontal="center" vertical="center"/>
    </xf>
    <xf numFmtId="0" fontId="8" fillId="3" borderId="6" xfId="3" applyFont="1" applyFill="1" applyBorder="1" applyAlignment="1">
      <alignment horizontal="center" vertical="center"/>
    </xf>
    <xf numFmtId="0" fontId="8" fillId="3" borderId="5" xfId="3" applyFont="1" applyFill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 wrapText="1"/>
    </xf>
    <xf numFmtId="0" fontId="4" fillId="0" borderId="13" xfId="1" applyFont="1" applyBorder="1" applyAlignment="1">
      <alignment horizontal="center" vertical="center" wrapText="1"/>
    </xf>
    <xf numFmtId="0" fontId="4" fillId="0" borderId="14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right" vertical="center" wrapText="1"/>
    </xf>
    <xf numFmtId="0" fontId="2" fillId="0" borderId="5" xfId="1" applyFont="1" applyBorder="1" applyAlignment="1">
      <alignment horizontal="right" vertical="center" wrapText="1"/>
    </xf>
    <xf numFmtId="0" fontId="2" fillId="0" borderId="6" xfId="1" applyFont="1" applyBorder="1" applyAlignment="1">
      <alignment horizontal="right" vertical="center" wrapText="1"/>
    </xf>
    <xf numFmtId="0" fontId="2" fillId="0" borderId="7" xfId="1" applyFont="1" applyBorder="1" applyAlignment="1">
      <alignment horizontal="right" vertical="center" wrapText="1"/>
    </xf>
    <xf numFmtId="0" fontId="2" fillId="0" borderId="8" xfId="1" applyFont="1" applyBorder="1" applyAlignment="1">
      <alignment horizontal="left" vertical="center" wrapText="1"/>
    </xf>
    <xf numFmtId="0" fontId="2" fillId="0" borderId="9" xfId="1" applyFont="1" applyBorder="1" applyAlignment="1">
      <alignment horizontal="left" vertical="center"/>
    </xf>
    <xf numFmtId="0" fontId="2" fillId="0" borderId="10" xfId="1" applyFont="1" applyBorder="1" applyAlignment="1">
      <alignment horizontal="left" vertical="center"/>
    </xf>
    <xf numFmtId="0" fontId="2" fillId="0" borderId="16" xfId="1" applyFont="1" applyBorder="1" applyAlignment="1">
      <alignment horizontal="left" vertical="center"/>
    </xf>
    <xf numFmtId="0" fontId="2" fillId="0" borderId="17" xfId="1" applyFont="1" applyBorder="1" applyAlignment="1">
      <alignment horizontal="left" vertical="center"/>
    </xf>
    <xf numFmtId="0" fontId="2" fillId="0" borderId="18" xfId="1" applyFont="1" applyBorder="1" applyAlignment="1">
      <alignment horizontal="left" vertical="center"/>
    </xf>
    <xf numFmtId="0" fontId="2" fillId="0" borderId="7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49" fontId="2" fillId="0" borderId="7" xfId="1" applyNumberFormat="1" applyFont="1" applyBorder="1" applyAlignment="1">
      <alignment horizontal="center" vertical="center"/>
    </xf>
    <xf numFmtId="49" fontId="2" fillId="0" borderId="5" xfId="1" applyNumberFormat="1" applyFont="1" applyBorder="1" applyAlignment="1">
      <alignment horizontal="center" vertical="center"/>
    </xf>
    <xf numFmtId="49" fontId="2" fillId="0" borderId="6" xfId="1" applyNumberFormat="1" applyFont="1" applyBorder="1" applyAlignment="1">
      <alignment horizontal="center" vertical="center"/>
    </xf>
    <xf numFmtId="0" fontId="2" fillId="0" borderId="7" xfId="1" applyFont="1" applyBorder="1" applyAlignment="1">
      <alignment horizontal="left" vertical="center" shrinkToFit="1"/>
    </xf>
    <xf numFmtId="0" fontId="2" fillId="0" borderId="5" xfId="1" applyFont="1" applyBorder="1" applyAlignment="1">
      <alignment horizontal="left" vertical="center" shrinkToFit="1"/>
    </xf>
    <xf numFmtId="0" fontId="2" fillId="0" borderId="6" xfId="1" applyFont="1" applyBorder="1" applyAlignment="1">
      <alignment horizontal="left" vertical="center" shrinkToFit="1"/>
    </xf>
    <xf numFmtId="0" fontId="2" fillId="0" borderId="7" xfId="1" applyFont="1" applyBorder="1" applyAlignment="1">
      <alignment horizontal="left" vertical="center"/>
    </xf>
    <xf numFmtId="0" fontId="2" fillId="0" borderId="5" xfId="1" applyFont="1" applyBorder="1" applyAlignment="1">
      <alignment horizontal="left" vertical="center"/>
    </xf>
    <xf numFmtId="0" fontId="2" fillId="0" borderId="6" xfId="1" applyFont="1" applyBorder="1" applyAlignment="1">
      <alignment horizontal="left" vertical="center"/>
    </xf>
    <xf numFmtId="14" fontId="12" fillId="0" borderId="7" xfId="1" applyNumberFormat="1" applyFont="1" applyBorder="1" applyAlignment="1" applyProtection="1">
      <alignment horizontal="center" vertical="center"/>
      <protection locked="0"/>
    </xf>
    <xf numFmtId="14" fontId="12" fillId="0" borderId="5" xfId="1" applyNumberFormat="1" applyFont="1" applyBorder="1" applyAlignment="1" applyProtection="1">
      <alignment horizontal="center" vertical="center"/>
      <protection locked="0"/>
    </xf>
    <xf numFmtId="14" fontId="12" fillId="0" borderId="6" xfId="1" applyNumberFormat="1" applyFont="1" applyBorder="1" applyAlignment="1" applyProtection="1">
      <alignment horizontal="center" vertical="center"/>
      <protection locked="0"/>
    </xf>
    <xf numFmtId="0" fontId="2" fillId="0" borderId="7" xfId="1" applyFont="1" applyBorder="1" applyAlignment="1">
      <alignment horizontal="center" vertical="center" shrinkToFit="1"/>
    </xf>
    <xf numFmtId="0" fontId="2" fillId="0" borderId="5" xfId="1" applyFont="1" applyBorder="1" applyAlignment="1">
      <alignment horizontal="center" vertical="center" shrinkToFit="1"/>
    </xf>
    <xf numFmtId="0" fontId="2" fillId="0" borderId="6" xfId="1" applyFont="1" applyBorder="1" applyAlignment="1">
      <alignment horizontal="center" vertical="center" shrinkToFit="1"/>
    </xf>
    <xf numFmtId="0" fontId="10" fillId="0" borderId="37" xfId="0" applyFont="1" applyBorder="1" applyAlignment="1">
      <alignment horizontal="center"/>
    </xf>
    <xf numFmtId="0" fontId="10" fillId="0" borderId="39" xfId="0" applyFont="1" applyBorder="1" applyAlignment="1">
      <alignment horizontal="center"/>
    </xf>
    <xf numFmtId="0" fontId="10" fillId="0" borderId="51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17" fillId="0" borderId="0" xfId="0" applyFont="1" applyBorder="1" applyAlignment="1">
      <alignment horizontal="left" vertical="center" wrapText="1"/>
    </xf>
    <xf numFmtId="0" fontId="10" fillId="3" borderId="23" xfId="0" applyFont="1" applyFill="1" applyBorder="1" applyAlignment="1">
      <alignment vertical="center"/>
    </xf>
    <xf numFmtId="0" fontId="10" fillId="3" borderId="24" xfId="0" applyFont="1" applyFill="1" applyBorder="1" applyAlignment="1">
      <alignment vertical="center"/>
    </xf>
    <xf numFmtId="0" fontId="10" fillId="3" borderId="24" xfId="0" applyFont="1" applyFill="1" applyBorder="1" applyAlignment="1">
      <alignment horizontal="center" vertical="center"/>
    </xf>
    <xf numFmtId="0" fontId="10" fillId="3" borderId="25" xfId="0" applyFont="1" applyFill="1" applyBorder="1" applyAlignment="1">
      <alignment vertical="center"/>
    </xf>
    <xf numFmtId="0" fontId="10" fillId="0" borderId="0" xfId="0" applyFont="1" applyBorder="1"/>
    <xf numFmtId="0" fontId="11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vertical="center"/>
    </xf>
    <xf numFmtId="0" fontId="14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11" fillId="0" borderId="0" xfId="0" applyFont="1" applyBorder="1"/>
    <xf numFmtId="0" fontId="13" fillId="0" borderId="24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0" fillId="0" borderId="7" xfId="0" applyFont="1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35" xfId="0" applyFont="1" applyBorder="1" applyAlignment="1">
      <alignment horizontal="left" wrapText="1"/>
    </xf>
    <xf numFmtId="0" fontId="10" fillId="0" borderId="38" xfId="0" applyFont="1" applyBorder="1" applyAlignment="1">
      <alignment horizontal="left" wrapText="1"/>
    </xf>
    <xf numFmtId="0" fontId="10" fillId="0" borderId="41" xfId="0" applyFont="1" applyBorder="1" applyAlignment="1">
      <alignment horizontal="left" wrapText="1"/>
    </xf>
    <xf numFmtId="0" fontId="10" fillId="0" borderId="15" xfId="0" applyFont="1" applyBorder="1" applyAlignment="1">
      <alignment horizontal="left" wrapText="1"/>
    </xf>
    <xf numFmtId="0" fontId="10" fillId="0" borderId="52" xfId="0" applyFont="1" applyBorder="1" applyAlignment="1">
      <alignment horizontal="left" wrapText="1"/>
    </xf>
    <xf numFmtId="0" fontId="10" fillId="0" borderId="40" xfId="0" applyFont="1" applyBorder="1" applyAlignment="1">
      <alignment horizontal="left" wrapText="1"/>
    </xf>
    <xf numFmtId="0" fontId="10" fillId="0" borderId="53" xfId="0" applyFont="1" applyBorder="1" applyAlignment="1">
      <alignment horizontal="left" wrapText="1"/>
    </xf>
    <xf numFmtId="0" fontId="17" fillId="0" borderId="23" xfId="0" applyFont="1" applyBorder="1" applyAlignment="1">
      <alignment horizontal="left" vertical="center" wrapText="1"/>
    </xf>
    <xf numFmtId="0" fontId="17" fillId="0" borderId="24" xfId="0" applyFont="1" applyBorder="1" applyAlignment="1">
      <alignment horizontal="left" vertical="center" wrapText="1"/>
    </xf>
    <xf numFmtId="0" fontId="17" fillId="0" borderId="25" xfId="0" applyFont="1" applyBorder="1" applyAlignment="1">
      <alignment horizontal="left" vertical="center" wrapText="1"/>
    </xf>
    <xf numFmtId="0" fontId="17" fillId="0" borderId="26" xfId="0" applyFont="1" applyBorder="1" applyAlignment="1">
      <alignment horizontal="left" vertical="center" wrapText="1"/>
    </xf>
    <xf numFmtId="0" fontId="17" fillId="0" borderId="27" xfId="0" applyFont="1" applyBorder="1" applyAlignment="1">
      <alignment horizontal="left" vertical="center" wrapText="1"/>
    </xf>
    <xf numFmtId="0" fontId="17" fillId="0" borderId="28" xfId="0" applyFont="1" applyBorder="1" applyAlignment="1">
      <alignment horizontal="left" vertical="center" wrapText="1"/>
    </xf>
    <xf numFmtId="0" fontId="17" fillId="0" borderId="29" xfId="0" applyFont="1" applyBorder="1" applyAlignment="1">
      <alignment horizontal="left" vertical="center" wrapText="1"/>
    </xf>
    <xf numFmtId="0" fontId="17" fillId="0" borderId="19" xfId="0" applyFont="1" applyBorder="1" applyAlignment="1">
      <alignment horizontal="left" vertical="center" wrapText="1"/>
    </xf>
    <xf numFmtId="0" fontId="10" fillId="0" borderId="7" xfId="0" applyFont="1" applyBorder="1" applyAlignment="1">
      <alignment wrapText="1"/>
    </xf>
    <xf numFmtId="0" fontId="10" fillId="0" borderId="5" xfId="0" applyFont="1" applyBorder="1" applyAlignment="1">
      <alignment wrapText="1"/>
    </xf>
    <xf numFmtId="0" fontId="10" fillId="0" borderId="35" xfId="0" applyFont="1" applyBorder="1" applyAlignment="1">
      <alignment wrapText="1"/>
    </xf>
    <xf numFmtId="0" fontId="10" fillId="0" borderId="51" xfId="0" applyFont="1" applyBorder="1" applyAlignment="1">
      <alignment horizontal="left" wrapText="1"/>
    </xf>
    <xf numFmtId="0" fontId="10" fillId="0" borderId="44" xfId="0" applyFont="1" applyBorder="1" applyAlignment="1">
      <alignment wrapText="1"/>
    </xf>
    <xf numFmtId="0" fontId="10" fillId="0" borderId="44" xfId="0" applyFont="1" applyBorder="1" applyAlignment="1">
      <alignment horizontal="left" wrapText="1"/>
    </xf>
    <xf numFmtId="0" fontId="10" fillId="0" borderId="43" xfId="0" applyFont="1" applyBorder="1" applyAlignment="1">
      <alignment wrapText="1"/>
    </xf>
    <xf numFmtId="0" fontId="10" fillId="0" borderId="54" xfId="0" applyFont="1" applyBorder="1"/>
    <xf numFmtId="0" fontId="10" fillId="0" borderId="43" xfId="0" applyFont="1" applyBorder="1" applyAlignment="1">
      <alignment horizontal="center"/>
    </xf>
    <xf numFmtId="0" fontId="10" fillId="0" borderId="55" xfId="0" applyFont="1" applyBorder="1" applyAlignment="1">
      <alignment horizontal="left" wrapText="1"/>
    </xf>
    <xf numFmtId="0" fontId="10" fillId="4" borderId="24" xfId="0" applyFont="1" applyFill="1" applyBorder="1" applyAlignment="1">
      <alignment vertical="center"/>
    </xf>
    <xf numFmtId="0" fontId="10" fillId="0" borderId="37" xfId="0" applyFont="1" applyBorder="1" applyAlignment="1">
      <alignment horizontal="left" wrapText="1"/>
    </xf>
    <xf numFmtId="0" fontId="18" fillId="0" borderId="0" xfId="0" applyFont="1" applyBorder="1" applyAlignment="1">
      <alignment horizontal="left" vertical="center" wrapText="1"/>
    </xf>
  </cellXfs>
  <cellStyles count="4">
    <cellStyle name="標準" xfId="0" builtinId="0"/>
    <cellStyle name="標準 2" xfId="1" xr:uid="{C5785D32-0C24-4C83-B696-993DD821C2D5}"/>
    <cellStyle name="標準_【UI工程】03-02-01テーブルレイアウト_0.1版_UI設計（フォーマト）" xfId="2" xr:uid="{B5E78268-4258-47B2-A8B0-FB33B82B3FED}"/>
    <cellStyle name="標準_【UI工程】テーブルレイアウト(更新)_20061122183404" xfId="3" xr:uid="{45E39A75-7EAC-4908-B964-9AA859DE13A8}"/>
  </cellStyles>
  <dxfs count="0"/>
  <tableStyles count="0" defaultTableStyle="TableStyleMedium2" defaultPivotStyle="PivotStyleLight16"/>
  <colors>
    <mruColors>
      <color rgb="FF5B9B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224115</xdr:colOff>
      <xdr:row>9</xdr:row>
      <xdr:rowOff>156880</xdr:rowOff>
    </xdr:from>
    <xdr:to>
      <xdr:col>42</xdr:col>
      <xdr:colOff>281826</xdr:colOff>
      <xdr:row>38</xdr:row>
      <xdr:rowOff>33616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3787586" y="1871380"/>
          <a:ext cx="8506946" cy="5726207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16</xdr:col>
      <xdr:colOff>235786</xdr:colOff>
      <xdr:row>10</xdr:row>
      <xdr:rowOff>140532</xdr:rowOff>
    </xdr:from>
    <xdr:to>
      <xdr:col>41</xdr:col>
      <xdr:colOff>26157</xdr:colOff>
      <xdr:row>36</xdr:row>
      <xdr:rowOff>187377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57F6379B-08F1-5F9B-374A-B65FA94778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653"/>
        <a:stretch>
          <a:fillRect/>
        </a:stretch>
      </xdr:blipFill>
      <xdr:spPr>
        <a:xfrm>
          <a:off x="4514229" y="2014302"/>
          <a:ext cx="6817010" cy="53246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224115</xdr:colOff>
      <xdr:row>9</xdr:row>
      <xdr:rowOff>156880</xdr:rowOff>
    </xdr:from>
    <xdr:to>
      <xdr:col>42</xdr:col>
      <xdr:colOff>281826</xdr:colOff>
      <xdr:row>38</xdr:row>
      <xdr:rowOff>33616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02BBE60A-6A1F-4641-A375-0D189870DBFA}"/>
            </a:ext>
          </a:extLst>
        </xdr:cNvPr>
        <xdr:cNvSpPr/>
      </xdr:nvSpPr>
      <xdr:spPr>
        <a:xfrm>
          <a:off x="3719790" y="1852330"/>
          <a:ext cx="8344461" cy="5677461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18</xdr:col>
      <xdr:colOff>4320</xdr:colOff>
      <xdr:row>14</xdr:row>
      <xdr:rowOff>-1</xdr:rowOff>
    </xdr:from>
    <xdr:to>
      <xdr:col>40</xdr:col>
      <xdr:colOff>42332</xdr:colOff>
      <xdr:row>36</xdr:row>
      <xdr:rowOff>165486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DD13B8EF-BE67-6716-7477-DA0041D9E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05487" y="2603499"/>
          <a:ext cx="6557345" cy="435648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65317</xdr:colOff>
      <xdr:row>11</xdr:row>
      <xdr:rowOff>145676</xdr:rowOff>
    </xdr:from>
    <xdr:to>
      <xdr:col>41</xdr:col>
      <xdr:colOff>106938</xdr:colOff>
      <xdr:row>33</xdr:row>
      <xdr:rowOff>198504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2D317C28-5212-4447-8C77-676359901E36}"/>
            </a:ext>
          </a:extLst>
        </xdr:cNvPr>
        <xdr:cNvSpPr/>
      </xdr:nvSpPr>
      <xdr:spPr>
        <a:xfrm>
          <a:off x="3337435" y="2263588"/>
          <a:ext cx="8490856" cy="449035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14</xdr:col>
      <xdr:colOff>261471</xdr:colOff>
      <xdr:row>17</xdr:row>
      <xdr:rowOff>56028</xdr:rowOff>
    </xdr:from>
    <xdr:to>
      <xdr:col>37</xdr:col>
      <xdr:colOff>252755</xdr:colOff>
      <xdr:row>27</xdr:row>
      <xdr:rowOff>149411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AF7C833-7CAB-2EFC-9933-F4A3175BB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78089" y="3436469"/>
          <a:ext cx="6434666" cy="21477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81064</xdr:colOff>
      <xdr:row>7</xdr:row>
      <xdr:rowOff>81065</xdr:rowOff>
    </xdr:from>
    <xdr:to>
      <xdr:col>53</xdr:col>
      <xdr:colOff>210728</xdr:colOff>
      <xdr:row>42</xdr:row>
      <xdr:rowOff>141861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781F2F5-B355-E0F2-DAAB-7BB6326EE6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862" y="1560480"/>
          <a:ext cx="14903547" cy="727547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147802</xdr:colOff>
      <xdr:row>9</xdr:row>
      <xdr:rowOff>186766</xdr:rowOff>
    </xdr:from>
    <xdr:to>
      <xdr:col>53</xdr:col>
      <xdr:colOff>31213</xdr:colOff>
      <xdr:row>43</xdr:row>
      <xdr:rowOff>168089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4C1A0FC5-CC2F-EF9F-78FB-00B215349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508" y="2110442"/>
          <a:ext cx="14469734" cy="696632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17318</xdr:colOff>
      <xdr:row>13</xdr:row>
      <xdr:rowOff>190499</xdr:rowOff>
    </xdr:from>
    <xdr:to>
      <xdr:col>50</xdr:col>
      <xdr:colOff>86592</xdr:colOff>
      <xdr:row>32</xdr:row>
      <xdr:rowOff>207817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7428741-339D-D79A-AE09-04ECA95DE8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89" r="1884"/>
        <a:stretch>
          <a:fillRect/>
        </a:stretch>
      </xdr:blipFill>
      <xdr:spPr>
        <a:xfrm>
          <a:off x="987136" y="3082635"/>
          <a:ext cx="13612092" cy="431222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107346</xdr:colOff>
      <xdr:row>16</xdr:row>
      <xdr:rowOff>83155</xdr:rowOff>
    </xdr:from>
    <xdr:to>
      <xdr:col>51</xdr:col>
      <xdr:colOff>0</xdr:colOff>
      <xdr:row>34</xdr:row>
      <xdr:rowOff>113844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C147D1EC-5598-3653-AF9E-BB8F9F362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221" y="3602113"/>
          <a:ext cx="14153696" cy="415818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181;&#20107;\&#31649;&#29702;&#36039;&#26009;\3TERM\&#65316;&#65323;&#65321;&#65331;\&#31471;&#26411;&#27083;~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\FShare\&#20181;&#20107;\&#26032;&#20809;&#38651;&#27671;\&#21442;&#32771;&#36039;&#26009;\pw1500-XPAR-03012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0.203.222.54\20_global%20aaa\AISIN\045_Indonesia&#12525;&#12540;&#12459;&#12521;&#12452;&#12474;\PO&#26908;&#35342;\&#20316;&#25104;&#23436;\&#12452;&#12531;&#12501;&#12521;\&#12469;&#12540;&#12496;&#27083;&#25104;\pw1500-XPAR-03012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0.203.222.54\20_global%20aaa\AISIN\045_Indonesia&#12525;&#12540;&#12459;&#12521;&#12452;&#12474;\PO&#26908;&#35342;\&#20316;&#25104;&#23436;\&#12452;&#12531;&#12501;&#12521;\&#12469;&#12540;&#12496;&#27083;&#25104;\Documents%20and%20Settings\micizono\My%20Documents\&#21830;&#21697;&#21270;\&#20986;&#33655;&#25645;&#36617;&#27083;&#25104;&#12471;&#12540;&#12488;\pp100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2\d\WINDOWS\Temporary%20Internet%20Files\Content.IE5\W3AFSRQT\INV_PL_SA&#12469;&#12531;&#12503;&#12523;&#12487;&#12540;&#1247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端末構~1"/>
    </sheetNames>
    <definedNames>
      <definedName name="CNT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基本情報"/>
      <sheetName val="記入方法"/>
      <sheetName val="パーティション設計シート"/>
      <sheetName val="コンソール接続"/>
      <sheetName val="PW1500"/>
      <sheetName val="PCI-ディスクボックス"/>
      <sheetName val="ハードウェアリスト"/>
    </sheetNames>
    <sheetDataSet>
      <sheetData sheetId="0"/>
      <sheetData sheetId="1"/>
      <sheetData sheetId="2"/>
      <sheetData sheetId="3" refreshError="1">
        <row r="1">
          <cell r="M1" t="str">
            <v>★</v>
          </cell>
        </row>
      </sheetData>
      <sheetData sheetId="4"/>
      <sheetData sheetId="5"/>
      <sheetData sheetId="6"/>
      <sheetData sheetId="7" refreshError="1">
        <row r="7">
          <cell r="E7" t="str">
            <v>■PW1K7PS1</v>
          </cell>
        </row>
        <row r="8">
          <cell r="E8" t="str">
            <v>■PW1K7DP1</v>
          </cell>
        </row>
        <row r="9">
          <cell r="E9" t="str">
            <v>□</v>
          </cell>
        </row>
        <row r="10">
          <cell r="E10" t="str">
            <v>■PW1K7SX11</v>
          </cell>
        </row>
        <row r="11">
          <cell r="E11" t="str">
            <v>□</v>
          </cell>
        </row>
        <row r="12">
          <cell r="E12" t="str">
            <v>■PW1K1D11</v>
          </cell>
        </row>
        <row r="13">
          <cell r="E13" t="str">
            <v>■(1.35GHzｾｯﾄ用)</v>
          </cell>
        </row>
        <row r="14">
          <cell r="E14" t="str">
            <v>□</v>
          </cell>
        </row>
        <row r="16">
          <cell r="E16" t="str">
            <v>■PW0R2M11A</v>
          </cell>
        </row>
        <row r="17">
          <cell r="E17" t="str">
            <v>■PW0R2M21A</v>
          </cell>
        </row>
        <row r="18">
          <cell r="E18" t="str">
            <v>■PW0R2M31A</v>
          </cell>
        </row>
        <row r="19">
          <cell r="E19" t="str">
            <v>□</v>
          </cell>
        </row>
        <row r="20">
          <cell r="E20" t="str">
            <v>■PW0R3D11</v>
          </cell>
        </row>
        <row r="21">
          <cell r="E21" t="str">
            <v>■PW0R3D21</v>
          </cell>
        </row>
        <row r="22">
          <cell r="E22" t="str">
            <v>■PW0R3D31</v>
          </cell>
        </row>
        <row r="23">
          <cell r="E23" t="str">
            <v>□</v>
          </cell>
        </row>
        <row r="24">
          <cell r="E24" t="str">
            <v>■GP7B8SC1</v>
          </cell>
        </row>
        <row r="25">
          <cell r="E25" t="str">
            <v>■X6541A-A</v>
          </cell>
        </row>
        <row r="26">
          <cell r="E26" t="str">
            <v>■PP028SC1</v>
          </cell>
        </row>
        <row r="27">
          <cell r="E27" t="str">
            <v>■X1033A-A</v>
          </cell>
        </row>
        <row r="28">
          <cell r="E28" t="str">
            <v>■PW008QE1</v>
          </cell>
        </row>
        <row r="29">
          <cell r="E29" t="str">
            <v>■PP028GE1</v>
          </cell>
        </row>
        <row r="30">
          <cell r="E30" t="str">
            <v>■PW008GE1</v>
          </cell>
        </row>
        <row r="31">
          <cell r="E31" t="str">
            <v>■GP7B8FC1</v>
          </cell>
        </row>
        <row r="32">
          <cell r="E32" t="str">
            <v>■PW008FC2</v>
          </cell>
        </row>
        <row r="33">
          <cell r="E33" t="str">
            <v>■GP7B8AT1</v>
          </cell>
        </row>
        <row r="34">
          <cell r="E34" t="str">
            <v>■GP7B8PC1</v>
          </cell>
        </row>
        <row r="35">
          <cell r="E35" t="str">
            <v>■GP7B8PC2</v>
          </cell>
        </row>
        <row r="36">
          <cell r="E36" t="str">
            <v>■GP7B8PI1</v>
          </cell>
        </row>
        <row r="37">
          <cell r="E37" t="str">
            <v>■GP7B8BA1</v>
          </cell>
        </row>
        <row r="38">
          <cell r="E38" t="str">
            <v>■GP7B8CP1</v>
          </cell>
        </row>
        <row r="39">
          <cell r="E39" t="str">
            <v>■GP7B8AP1</v>
          </cell>
        </row>
        <row r="40">
          <cell r="E40" t="str">
            <v>■GP7B8AP2</v>
          </cell>
        </row>
        <row r="41">
          <cell r="E41" t="str">
            <v>■X2156A-A</v>
          </cell>
        </row>
        <row r="42">
          <cell r="E42" t="str">
            <v>□</v>
          </cell>
        </row>
        <row r="43">
          <cell r="E43" t="str">
            <v>■PW2K7BD91</v>
          </cell>
        </row>
        <row r="44">
          <cell r="E44" t="str">
            <v>□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基本情報"/>
      <sheetName val="記入方法"/>
      <sheetName val="パーティション設計シート"/>
      <sheetName val="コンソール接続"/>
      <sheetName val="PW1500"/>
      <sheetName val="PCI-ディスクボックス"/>
      <sheetName val="ハードウェアリスト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基本情報"/>
      <sheetName val="ハードウェア構成"/>
      <sheetName val="増設ラック（増設ファイルユニット）構成"/>
      <sheetName val="ハードウェア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ih"/>
      <sheetName val="Soil"/>
      <sheetName val="InvoiceHeader"/>
      <sheetName val="InvoiceDetail"/>
      <sheetName val="Packing_List_Header"/>
      <sheetName val="Packing_List_Detail"/>
      <sheetName val="ShippingAdvice"/>
      <sheetName val="EDSNS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055E1-9120-4641-95BD-7BB568F2A8C6}">
  <dimension ref="A1:BD38"/>
  <sheetViews>
    <sheetView showGridLines="0" showZeros="0" view="pageBreakPreview" topLeftCell="K1" zoomScale="130" zoomScaleNormal="85" zoomScaleSheetLayoutView="130" workbookViewId="0">
      <pane ySplit="4" topLeftCell="A6" activePane="bottomLeft" state="frozen"/>
      <selection activeCell="A5" sqref="A5"/>
      <selection pane="bottomLeft" activeCell="AH14" activeCellId="1" sqref="AP14 AH14"/>
    </sheetView>
  </sheetViews>
  <sheetFormatPr defaultColWidth="8.125" defaultRowHeight="12"/>
  <cols>
    <col min="1" max="1" width="0.75" style="33" customWidth="1"/>
    <col min="2" max="2" width="2.375" style="34" customWidth="1"/>
    <col min="3" max="54" width="2.375" style="33" customWidth="1"/>
    <col min="55" max="55" width="2.375" style="33" hidden="1" customWidth="1"/>
    <col min="56" max="56" width="0.75" style="33" customWidth="1"/>
    <col min="57" max="57" width="2.375" style="33" customWidth="1"/>
    <col min="58" max="161" width="8.125" style="33"/>
    <col min="162" max="162" width="0.75" style="33" customWidth="1"/>
    <col min="163" max="215" width="2.375" style="33" customWidth="1"/>
    <col min="216" max="216" width="0" style="33" hidden="1" customWidth="1"/>
    <col min="217" max="217" width="0.75" style="33" customWidth="1"/>
    <col min="218" max="220" width="2.375" style="33" customWidth="1"/>
    <col min="221" max="221" width="12.125" style="33" bestFit="1" customWidth="1"/>
    <col min="222" max="222" width="13.625" style="33" bestFit="1" customWidth="1"/>
    <col min="223" max="223" width="8.25" style="33" bestFit="1" customWidth="1"/>
    <col min="224" max="224" width="10.75" style="33" bestFit="1" customWidth="1"/>
    <col min="225" max="236" width="2.375" style="33" customWidth="1"/>
    <col min="237" max="249" width="2.75" style="33" customWidth="1"/>
    <col min="250" max="252" width="8.125" style="33"/>
    <col min="253" max="253" width="7.5" style="33" bestFit="1" customWidth="1"/>
    <col min="254" max="417" width="8.125" style="33"/>
    <col min="418" max="418" width="0.75" style="33" customWidth="1"/>
    <col min="419" max="471" width="2.375" style="33" customWidth="1"/>
    <col min="472" max="472" width="0" style="33" hidden="1" customWidth="1"/>
    <col min="473" max="473" width="0.75" style="33" customWidth="1"/>
    <col min="474" max="476" width="2.375" style="33" customWidth="1"/>
    <col min="477" max="477" width="12.125" style="33" bestFit="1" customWidth="1"/>
    <col min="478" max="478" width="13.625" style="33" bestFit="1" customWidth="1"/>
    <col min="479" max="479" width="8.25" style="33" bestFit="1" customWidth="1"/>
    <col min="480" max="480" width="10.75" style="33" bestFit="1" customWidth="1"/>
    <col min="481" max="492" width="2.375" style="33" customWidth="1"/>
    <col min="493" max="505" width="2.75" style="33" customWidth="1"/>
    <col min="506" max="508" width="8.125" style="33"/>
    <col min="509" max="509" width="7.5" style="33" bestFit="1" customWidth="1"/>
    <col min="510" max="673" width="8.125" style="33"/>
    <col min="674" max="674" width="0.75" style="33" customWidth="1"/>
    <col min="675" max="727" width="2.375" style="33" customWidth="1"/>
    <col min="728" max="728" width="0" style="33" hidden="1" customWidth="1"/>
    <col min="729" max="729" width="0.75" style="33" customWidth="1"/>
    <col min="730" max="732" width="2.375" style="33" customWidth="1"/>
    <col min="733" max="733" width="12.125" style="33" bestFit="1" customWidth="1"/>
    <col min="734" max="734" width="13.625" style="33" bestFit="1" customWidth="1"/>
    <col min="735" max="735" width="8.25" style="33" bestFit="1" customWidth="1"/>
    <col min="736" max="736" width="10.75" style="33" bestFit="1" customWidth="1"/>
    <col min="737" max="748" width="2.375" style="33" customWidth="1"/>
    <col min="749" max="761" width="2.75" style="33" customWidth="1"/>
    <col min="762" max="764" width="8.125" style="33"/>
    <col min="765" max="765" width="7.5" style="33" bestFit="1" customWidth="1"/>
    <col min="766" max="929" width="8.125" style="33"/>
    <col min="930" max="930" width="0.75" style="33" customWidth="1"/>
    <col min="931" max="983" width="2.375" style="33" customWidth="1"/>
    <col min="984" max="984" width="0" style="33" hidden="1" customWidth="1"/>
    <col min="985" max="985" width="0.75" style="33" customWidth="1"/>
    <col min="986" max="988" width="2.375" style="33" customWidth="1"/>
    <col min="989" max="989" width="12.125" style="33" bestFit="1" customWidth="1"/>
    <col min="990" max="990" width="13.625" style="33" bestFit="1" customWidth="1"/>
    <col min="991" max="991" width="8.25" style="33" bestFit="1" customWidth="1"/>
    <col min="992" max="992" width="10.75" style="33" bestFit="1" customWidth="1"/>
    <col min="993" max="1004" width="2.375" style="33" customWidth="1"/>
    <col min="1005" max="1017" width="2.75" style="33" customWidth="1"/>
    <col min="1018" max="1020" width="8.125" style="33"/>
    <col min="1021" max="1021" width="7.5" style="33" bestFit="1" customWidth="1"/>
    <col min="1022" max="1185" width="8.125" style="33"/>
    <col min="1186" max="1186" width="0.75" style="33" customWidth="1"/>
    <col min="1187" max="1239" width="2.375" style="33" customWidth="1"/>
    <col min="1240" max="1240" width="0" style="33" hidden="1" customWidth="1"/>
    <col min="1241" max="1241" width="0.75" style="33" customWidth="1"/>
    <col min="1242" max="1244" width="2.375" style="33" customWidth="1"/>
    <col min="1245" max="1245" width="12.125" style="33" bestFit="1" customWidth="1"/>
    <col min="1246" max="1246" width="13.625" style="33" bestFit="1" customWidth="1"/>
    <col min="1247" max="1247" width="8.25" style="33" bestFit="1" customWidth="1"/>
    <col min="1248" max="1248" width="10.75" style="33" bestFit="1" customWidth="1"/>
    <col min="1249" max="1260" width="2.375" style="33" customWidth="1"/>
    <col min="1261" max="1273" width="2.75" style="33" customWidth="1"/>
    <col min="1274" max="1276" width="8.125" style="33"/>
    <col min="1277" max="1277" width="7.5" style="33" bestFit="1" customWidth="1"/>
    <col min="1278" max="1441" width="8.125" style="33"/>
    <col min="1442" max="1442" width="0.75" style="33" customWidth="1"/>
    <col min="1443" max="1495" width="2.375" style="33" customWidth="1"/>
    <col min="1496" max="1496" width="0" style="33" hidden="1" customWidth="1"/>
    <col min="1497" max="1497" width="0.75" style="33" customWidth="1"/>
    <col min="1498" max="1500" width="2.375" style="33" customWidth="1"/>
    <col min="1501" max="1501" width="12.125" style="33" bestFit="1" customWidth="1"/>
    <col min="1502" max="1502" width="13.625" style="33" bestFit="1" customWidth="1"/>
    <col min="1503" max="1503" width="8.25" style="33" bestFit="1" customWidth="1"/>
    <col min="1504" max="1504" width="10.75" style="33" bestFit="1" customWidth="1"/>
    <col min="1505" max="1516" width="2.375" style="33" customWidth="1"/>
    <col min="1517" max="1529" width="2.75" style="33" customWidth="1"/>
    <col min="1530" max="1532" width="8.125" style="33"/>
    <col min="1533" max="1533" width="7.5" style="33" bestFit="1" customWidth="1"/>
    <col min="1534" max="1697" width="8.125" style="33"/>
    <col min="1698" max="1698" width="0.75" style="33" customWidth="1"/>
    <col min="1699" max="1751" width="2.375" style="33" customWidth="1"/>
    <col min="1752" max="1752" width="0" style="33" hidden="1" customWidth="1"/>
    <col min="1753" max="1753" width="0.75" style="33" customWidth="1"/>
    <col min="1754" max="1756" width="2.375" style="33" customWidth="1"/>
    <col min="1757" max="1757" width="12.125" style="33" bestFit="1" customWidth="1"/>
    <col min="1758" max="1758" width="13.625" style="33" bestFit="1" customWidth="1"/>
    <col min="1759" max="1759" width="8.25" style="33" bestFit="1" customWidth="1"/>
    <col min="1760" max="1760" width="10.75" style="33" bestFit="1" customWidth="1"/>
    <col min="1761" max="1772" width="2.375" style="33" customWidth="1"/>
    <col min="1773" max="1785" width="2.75" style="33" customWidth="1"/>
    <col min="1786" max="1788" width="8.125" style="33"/>
    <col min="1789" max="1789" width="7.5" style="33" bestFit="1" customWidth="1"/>
    <col min="1790" max="1953" width="8.125" style="33"/>
    <col min="1954" max="1954" width="0.75" style="33" customWidth="1"/>
    <col min="1955" max="2007" width="2.375" style="33" customWidth="1"/>
    <col min="2008" max="2008" width="0" style="33" hidden="1" customWidth="1"/>
    <col min="2009" max="2009" width="0.75" style="33" customWidth="1"/>
    <col min="2010" max="2012" width="2.375" style="33" customWidth="1"/>
    <col min="2013" max="2013" width="12.125" style="33" bestFit="1" customWidth="1"/>
    <col min="2014" max="2014" width="13.625" style="33" bestFit="1" customWidth="1"/>
    <col min="2015" max="2015" width="8.25" style="33" bestFit="1" customWidth="1"/>
    <col min="2016" max="2016" width="10.75" style="33" bestFit="1" customWidth="1"/>
    <col min="2017" max="2028" width="2.375" style="33" customWidth="1"/>
    <col min="2029" max="2041" width="2.75" style="33" customWidth="1"/>
    <col min="2042" max="2044" width="8.125" style="33"/>
    <col min="2045" max="2045" width="7.5" style="33" bestFit="1" customWidth="1"/>
    <col min="2046" max="2209" width="8.125" style="33"/>
    <col min="2210" max="2210" width="0.75" style="33" customWidth="1"/>
    <col min="2211" max="2263" width="2.375" style="33" customWidth="1"/>
    <col min="2264" max="2264" width="0" style="33" hidden="1" customWidth="1"/>
    <col min="2265" max="2265" width="0.75" style="33" customWidth="1"/>
    <col min="2266" max="2268" width="2.375" style="33" customWidth="1"/>
    <col min="2269" max="2269" width="12.125" style="33" bestFit="1" customWidth="1"/>
    <col min="2270" max="2270" width="13.625" style="33" bestFit="1" customWidth="1"/>
    <col min="2271" max="2271" width="8.25" style="33" bestFit="1" customWidth="1"/>
    <col min="2272" max="2272" width="10.75" style="33" bestFit="1" customWidth="1"/>
    <col min="2273" max="2284" width="2.375" style="33" customWidth="1"/>
    <col min="2285" max="2297" width="2.75" style="33" customWidth="1"/>
    <col min="2298" max="2300" width="8.125" style="33"/>
    <col min="2301" max="2301" width="7.5" style="33" bestFit="1" customWidth="1"/>
    <col min="2302" max="2465" width="8.125" style="33"/>
    <col min="2466" max="2466" width="0.75" style="33" customWidth="1"/>
    <col min="2467" max="2519" width="2.375" style="33" customWidth="1"/>
    <col min="2520" max="2520" width="0" style="33" hidden="1" customWidth="1"/>
    <col min="2521" max="2521" width="0.75" style="33" customWidth="1"/>
    <col min="2522" max="2524" width="2.375" style="33" customWidth="1"/>
    <col min="2525" max="2525" width="12.125" style="33" bestFit="1" customWidth="1"/>
    <col min="2526" max="2526" width="13.625" style="33" bestFit="1" customWidth="1"/>
    <col min="2527" max="2527" width="8.25" style="33" bestFit="1" customWidth="1"/>
    <col min="2528" max="2528" width="10.75" style="33" bestFit="1" customWidth="1"/>
    <col min="2529" max="2540" width="2.375" style="33" customWidth="1"/>
    <col min="2541" max="2553" width="2.75" style="33" customWidth="1"/>
    <col min="2554" max="2556" width="8.125" style="33"/>
    <col min="2557" max="2557" width="7.5" style="33" bestFit="1" customWidth="1"/>
    <col min="2558" max="2721" width="8.125" style="33"/>
    <col min="2722" max="2722" width="0.75" style="33" customWidth="1"/>
    <col min="2723" max="2775" width="2.375" style="33" customWidth="1"/>
    <col min="2776" max="2776" width="0" style="33" hidden="1" customWidth="1"/>
    <col min="2777" max="2777" width="0.75" style="33" customWidth="1"/>
    <col min="2778" max="2780" width="2.375" style="33" customWidth="1"/>
    <col min="2781" max="2781" width="12.125" style="33" bestFit="1" customWidth="1"/>
    <col min="2782" max="2782" width="13.625" style="33" bestFit="1" customWidth="1"/>
    <col min="2783" max="2783" width="8.25" style="33" bestFit="1" customWidth="1"/>
    <col min="2784" max="2784" width="10.75" style="33" bestFit="1" customWidth="1"/>
    <col min="2785" max="2796" width="2.375" style="33" customWidth="1"/>
    <col min="2797" max="2809" width="2.75" style="33" customWidth="1"/>
    <col min="2810" max="2812" width="8.125" style="33"/>
    <col min="2813" max="2813" width="7.5" style="33" bestFit="1" customWidth="1"/>
    <col min="2814" max="2977" width="8.125" style="33"/>
    <col min="2978" max="2978" width="0.75" style="33" customWidth="1"/>
    <col min="2979" max="3031" width="2.375" style="33" customWidth="1"/>
    <col min="3032" max="3032" width="0" style="33" hidden="1" customWidth="1"/>
    <col min="3033" max="3033" width="0.75" style="33" customWidth="1"/>
    <col min="3034" max="3036" width="2.375" style="33" customWidth="1"/>
    <col min="3037" max="3037" width="12.125" style="33" bestFit="1" customWidth="1"/>
    <col min="3038" max="3038" width="13.625" style="33" bestFit="1" customWidth="1"/>
    <col min="3039" max="3039" width="8.25" style="33" bestFit="1" customWidth="1"/>
    <col min="3040" max="3040" width="10.75" style="33" bestFit="1" customWidth="1"/>
    <col min="3041" max="3052" width="2.375" style="33" customWidth="1"/>
    <col min="3053" max="3065" width="2.75" style="33" customWidth="1"/>
    <col min="3066" max="3068" width="8.125" style="33"/>
    <col min="3069" max="3069" width="7.5" style="33" bestFit="1" customWidth="1"/>
    <col min="3070" max="3233" width="8.125" style="33"/>
    <col min="3234" max="3234" width="0.75" style="33" customWidth="1"/>
    <col min="3235" max="3287" width="2.375" style="33" customWidth="1"/>
    <col min="3288" max="3288" width="0" style="33" hidden="1" customWidth="1"/>
    <col min="3289" max="3289" width="0.75" style="33" customWidth="1"/>
    <col min="3290" max="3292" width="2.375" style="33" customWidth="1"/>
    <col min="3293" max="3293" width="12.125" style="33" bestFit="1" customWidth="1"/>
    <col min="3294" max="3294" width="13.625" style="33" bestFit="1" customWidth="1"/>
    <col min="3295" max="3295" width="8.25" style="33" bestFit="1" customWidth="1"/>
    <col min="3296" max="3296" width="10.75" style="33" bestFit="1" customWidth="1"/>
    <col min="3297" max="3308" width="2.375" style="33" customWidth="1"/>
    <col min="3309" max="3321" width="2.75" style="33" customWidth="1"/>
    <col min="3322" max="3324" width="8.125" style="33"/>
    <col min="3325" max="3325" width="7.5" style="33" bestFit="1" customWidth="1"/>
    <col min="3326" max="3489" width="8.125" style="33"/>
    <col min="3490" max="3490" width="0.75" style="33" customWidth="1"/>
    <col min="3491" max="3543" width="2.375" style="33" customWidth="1"/>
    <col min="3544" max="3544" width="0" style="33" hidden="1" customWidth="1"/>
    <col min="3545" max="3545" width="0.75" style="33" customWidth="1"/>
    <col min="3546" max="3548" width="2.375" style="33" customWidth="1"/>
    <col min="3549" max="3549" width="12.125" style="33" bestFit="1" customWidth="1"/>
    <col min="3550" max="3550" width="13.625" style="33" bestFit="1" customWidth="1"/>
    <col min="3551" max="3551" width="8.25" style="33" bestFit="1" customWidth="1"/>
    <col min="3552" max="3552" width="10.75" style="33" bestFit="1" customWidth="1"/>
    <col min="3553" max="3564" width="2.375" style="33" customWidth="1"/>
    <col min="3565" max="3577" width="2.75" style="33" customWidth="1"/>
    <col min="3578" max="3580" width="8.125" style="33"/>
    <col min="3581" max="3581" width="7.5" style="33" bestFit="1" customWidth="1"/>
    <col min="3582" max="3745" width="8.125" style="33"/>
    <col min="3746" max="3746" width="0.75" style="33" customWidth="1"/>
    <col min="3747" max="3799" width="2.375" style="33" customWidth="1"/>
    <col min="3800" max="3800" width="0" style="33" hidden="1" customWidth="1"/>
    <col min="3801" max="3801" width="0.75" style="33" customWidth="1"/>
    <col min="3802" max="3804" width="2.375" style="33" customWidth="1"/>
    <col min="3805" max="3805" width="12.125" style="33" bestFit="1" customWidth="1"/>
    <col min="3806" max="3806" width="13.625" style="33" bestFit="1" customWidth="1"/>
    <col min="3807" max="3807" width="8.25" style="33" bestFit="1" customWidth="1"/>
    <col min="3808" max="3808" width="10.75" style="33" bestFit="1" customWidth="1"/>
    <col min="3809" max="3820" width="2.375" style="33" customWidth="1"/>
    <col min="3821" max="3833" width="2.75" style="33" customWidth="1"/>
    <col min="3834" max="3836" width="8.125" style="33"/>
    <col min="3837" max="3837" width="7.5" style="33" bestFit="1" customWidth="1"/>
    <col min="3838" max="4001" width="8.125" style="33"/>
    <col min="4002" max="4002" width="0.75" style="33" customWidth="1"/>
    <col min="4003" max="4055" width="2.375" style="33" customWidth="1"/>
    <col min="4056" max="4056" width="0" style="33" hidden="1" customWidth="1"/>
    <col min="4057" max="4057" width="0.75" style="33" customWidth="1"/>
    <col min="4058" max="4060" width="2.375" style="33" customWidth="1"/>
    <col min="4061" max="4061" width="12.125" style="33" bestFit="1" customWidth="1"/>
    <col min="4062" max="4062" width="13.625" style="33" bestFit="1" customWidth="1"/>
    <col min="4063" max="4063" width="8.25" style="33" bestFit="1" customWidth="1"/>
    <col min="4064" max="4064" width="10.75" style="33" bestFit="1" customWidth="1"/>
    <col min="4065" max="4076" width="2.375" style="33" customWidth="1"/>
    <col min="4077" max="4089" width="2.75" style="33" customWidth="1"/>
    <col min="4090" max="4092" width="8.125" style="33"/>
    <col min="4093" max="4093" width="7.5" style="33" bestFit="1" customWidth="1"/>
    <col min="4094" max="4257" width="8.125" style="33"/>
    <col min="4258" max="4258" width="0.75" style="33" customWidth="1"/>
    <col min="4259" max="4311" width="2.375" style="33" customWidth="1"/>
    <col min="4312" max="4312" width="0" style="33" hidden="1" customWidth="1"/>
    <col min="4313" max="4313" width="0.75" style="33" customWidth="1"/>
    <col min="4314" max="4316" width="2.375" style="33" customWidth="1"/>
    <col min="4317" max="4317" width="12.125" style="33" bestFit="1" customWidth="1"/>
    <col min="4318" max="4318" width="13.625" style="33" bestFit="1" customWidth="1"/>
    <col min="4319" max="4319" width="8.25" style="33" bestFit="1" customWidth="1"/>
    <col min="4320" max="4320" width="10.75" style="33" bestFit="1" customWidth="1"/>
    <col min="4321" max="4332" width="2.375" style="33" customWidth="1"/>
    <col min="4333" max="4345" width="2.75" style="33" customWidth="1"/>
    <col min="4346" max="4348" width="8.125" style="33"/>
    <col min="4349" max="4349" width="7.5" style="33" bestFit="1" customWidth="1"/>
    <col min="4350" max="4513" width="8.125" style="33"/>
    <col min="4514" max="4514" width="0.75" style="33" customWidth="1"/>
    <col min="4515" max="4567" width="2.375" style="33" customWidth="1"/>
    <col min="4568" max="4568" width="0" style="33" hidden="1" customWidth="1"/>
    <col min="4569" max="4569" width="0.75" style="33" customWidth="1"/>
    <col min="4570" max="4572" width="2.375" style="33" customWidth="1"/>
    <col min="4573" max="4573" width="12.125" style="33" bestFit="1" customWidth="1"/>
    <col min="4574" max="4574" width="13.625" style="33" bestFit="1" customWidth="1"/>
    <col min="4575" max="4575" width="8.25" style="33" bestFit="1" customWidth="1"/>
    <col min="4576" max="4576" width="10.75" style="33" bestFit="1" customWidth="1"/>
    <col min="4577" max="4588" width="2.375" style="33" customWidth="1"/>
    <col min="4589" max="4601" width="2.75" style="33" customWidth="1"/>
    <col min="4602" max="4604" width="8.125" style="33"/>
    <col min="4605" max="4605" width="7.5" style="33" bestFit="1" customWidth="1"/>
    <col min="4606" max="4769" width="8.125" style="33"/>
    <col min="4770" max="4770" width="0.75" style="33" customWidth="1"/>
    <col min="4771" max="4823" width="2.375" style="33" customWidth="1"/>
    <col min="4824" max="4824" width="0" style="33" hidden="1" customWidth="1"/>
    <col min="4825" max="4825" width="0.75" style="33" customWidth="1"/>
    <col min="4826" max="4828" width="2.375" style="33" customWidth="1"/>
    <col min="4829" max="4829" width="12.125" style="33" bestFit="1" customWidth="1"/>
    <col min="4830" max="4830" width="13.625" style="33" bestFit="1" customWidth="1"/>
    <col min="4831" max="4831" width="8.25" style="33" bestFit="1" customWidth="1"/>
    <col min="4832" max="4832" width="10.75" style="33" bestFit="1" customWidth="1"/>
    <col min="4833" max="4844" width="2.375" style="33" customWidth="1"/>
    <col min="4845" max="4857" width="2.75" style="33" customWidth="1"/>
    <col min="4858" max="4860" width="8.125" style="33"/>
    <col min="4861" max="4861" width="7.5" style="33" bestFit="1" customWidth="1"/>
    <col min="4862" max="5025" width="8.125" style="33"/>
    <col min="5026" max="5026" width="0.75" style="33" customWidth="1"/>
    <col min="5027" max="5079" width="2.375" style="33" customWidth="1"/>
    <col min="5080" max="5080" width="0" style="33" hidden="1" customWidth="1"/>
    <col min="5081" max="5081" width="0.75" style="33" customWidth="1"/>
    <col min="5082" max="5084" width="2.375" style="33" customWidth="1"/>
    <col min="5085" max="5085" width="12.125" style="33" bestFit="1" customWidth="1"/>
    <col min="5086" max="5086" width="13.625" style="33" bestFit="1" customWidth="1"/>
    <col min="5087" max="5087" width="8.25" style="33" bestFit="1" customWidth="1"/>
    <col min="5088" max="5088" width="10.75" style="33" bestFit="1" customWidth="1"/>
    <col min="5089" max="5100" width="2.375" style="33" customWidth="1"/>
    <col min="5101" max="5113" width="2.75" style="33" customWidth="1"/>
    <col min="5114" max="5116" width="8.125" style="33"/>
    <col min="5117" max="5117" width="7.5" style="33" bestFit="1" customWidth="1"/>
    <col min="5118" max="5281" width="8.125" style="33"/>
    <col min="5282" max="5282" width="0.75" style="33" customWidth="1"/>
    <col min="5283" max="5335" width="2.375" style="33" customWidth="1"/>
    <col min="5336" max="5336" width="0" style="33" hidden="1" customWidth="1"/>
    <col min="5337" max="5337" width="0.75" style="33" customWidth="1"/>
    <col min="5338" max="5340" width="2.375" style="33" customWidth="1"/>
    <col min="5341" max="5341" width="12.125" style="33" bestFit="1" customWidth="1"/>
    <col min="5342" max="5342" width="13.625" style="33" bestFit="1" customWidth="1"/>
    <col min="5343" max="5343" width="8.25" style="33" bestFit="1" customWidth="1"/>
    <col min="5344" max="5344" width="10.75" style="33" bestFit="1" customWidth="1"/>
    <col min="5345" max="5356" width="2.375" style="33" customWidth="1"/>
    <col min="5357" max="5369" width="2.75" style="33" customWidth="1"/>
    <col min="5370" max="5372" width="8.125" style="33"/>
    <col min="5373" max="5373" width="7.5" style="33" bestFit="1" customWidth="1"/>
    <col min="5374" max="5537" width="8.125" style="33"/>
    <col min="5538" max="5538" width="0.75" style="33" customWidth="1"/>
    <col min="5539" max="5591" width="2.375" style="33" customWidth="1"/>
    <col min="5592" max="5592" width="0" style="33" hidden="1" customWidth="1"/>
    <col min="5593" max="5593" width="0.75" style="33" customWidth="1"/>
    <col min="5594" max="5596" width="2.375" style="33" customWidth="1"/>
    <col min="5597" max="5597" width="12.125" style="33" bestFit="1" customWidth="1"/>
    <col min="5598" max="5598" width="13.625" style="33" bestFit="1" customWidth="1"/>
    <col min="5599" max="5599" width="8.25" style="33" bestFit="1" customWidth="1"/>
    <col min="5600" max="5600" width="10.75" style="33" bestFit="1" customWidth="1"/>
    <col min="5601" max="5612" width="2.375" style="33" customWidth="1"/>
    <col min="5613" max="5625" width="2.75" style="33" customWidth="1"/>
    <col min="5626" max="5628" width="8.125" style="33"/>
    <col min="5629" max="5629" width="7.5" style="33" bestFit="1" customWidth="1"/>
    <col min="5630" max="5793" width="8.125" style="33"/>
    <col min="5794" max="5794" width="0.75" style="33" customWidth="1"/>
    <col min="5795" max="5847" width="2.375" style="33" customWidth="1"/>
    <col min="5848" max="5848" width="0" style="33" hidden="1" customWidth="1"/>
    <col min="5849" max="5849" width="0.75" style="33" customWidth="1"/>
    <col min="5850" max="5852" width="2.375" style="33" customWidth="1"/>
    <col min="5853" max="5853" width="12.125" style="33" bestFit="1" customWidth="1"/>
    <col min="5854" max="5854" width="13.625" style="33" bestFit="1" customWidth="1"/>
    <col min="5855" max="5855" width="8.25" style="33" bestFit="1" customWidth="1"/>
    <col min="5856" max="5856" width="10.75" style="33" bestFit="1" customWidth="1"/>
    <col min="5857" max="5868" width="2.375" style="33" customWidth="1"/>
    <col min="5869" max="5881" width="2.75" style="33" customWidth="1"/>
    <col min="5882" max="5884" width="8.125" style="33"/>
    <col min="5885" max="5885" width="7.5" style="33" bestFit="1" customWidth="1"/>
    <col min="5886" max="6049" width="8.125" style="33"/>
    <col min="6050" max="6050" width="0.75" style="33" customWidth="1"/>
    <col min="6051" max="6103" width="2.375" style="33" customWidth="1"/>
    <col min="6104" max="6104" width="0" style="33" hidden="1" customWidth="1"/>
    <col min="6105" max="6105" width="0.75" style="33" customWidth="1"/>
    <col min="6106" max="6108" width="2.375" style="33" customWidth="1"/>
    <col min="6109" max="6109" width="12.125" style="33" bestFit="1" customWidth="1"/>
    <col min="6110" max="6110" width="13.625" style="33" bestFit="1" customWidth="1"/>
    <col min="6111" max="6111" width="8.25" style="33" bestFit="1" customWidth="1"/>
    <col min="6112" max="6112" width="10.75" style="33" bestFit="1" customWidth="1"/>
    <col min="6113" max="6124" width="2.375" style="33" customWidth="1"/>
    <col min="6125" max="6137" width="2.75" style="33" customWidth="1"/>
    <col min="6138" max="6140" width="8.125" style="33"/>
    <col min="6141" max="6141" width="7.5" style="33" bestFit="1" customWidth="1"/>
    <col min="6142" max="6305" width="8.125" style="33"/>
    <col min="6306" max="6306" width="0.75" style="33" customWidth="1"/>
    <col min="6307" max="6359" width="2.375" style="33" customWidth="1"/>
    <col min="6360" max="6360" width="0" style="33" hidden="1" customWidth="1"/>
    <col min="6361" max="6361" width="0.75" style="33" customWidth="1"/>
    <col min="6362" max="6364" width="2.375" style="33" customWidth="1"/>
    <col min="6365" max="6365" width="12.125" style="33" bestFit="1" customWidth="1"/>
    <col min="6366" max="6366" width="13.625" style="33" bestFit="1" customWidth="1"/>
    <col min="6367" max="6367" width="8.25" style="33" bestFit="1" customWidth="1"/>
    <col min="6368" max="6368" width="10.75" style="33" bestFit="1" customWidth="1"/>
    <col min="6369" max="6380" width="2.375" style="33" customWidth="1"/>
    <col min="6381" max="6393" width="2.75" style="33" customWidth="1"/>
    <col min="6394" max="6396" width="8.125" style="33"/>
    <col min="6397" max="6397" width="7.5" style="33" bestFit="1" customWidth="1"/>
    <col min="6398" max="6561" width="8.125" style="33"/>
    <col min="6562" max="6562" width="0.75" style="33" customWidth="1"/>
    <col min="6563" max="6615" width="2.375" style="33" customWidth="1"/>
    <col min="6616" max="6616" width="0" style="33" hidden="1" customWidth="1"/>
    <col min="6617" max="6617" width="0.75" style="33" customWidth="1"/>
    <col min="6618" max="6620" width="2.375" style="33" customWidth="1"/>
    <col min="6621" max="6621" width="12.125" style="33" bestFit="1" customWidth="1"/>
    <col min="6622" max="6622" width="13.625" style="33" bestFit="1" customWidth="1"/>
    <col min="6623" max="6623" width="8.25" style="33" bestFit="1" customWidth="1"/>
    <col min="6624" max="6624" width="10.75" style="33" bestFit="1" customWidth="1"/>
    <col min="6625" max="6636" width="2.375" style="33" customWidth="1"/>
    <col min="6637" max="6649" width="2.75" style="33" customWidth="1"/>
    <col min="6650" max="6652" width="8.125" style="33"/>
    <col min="6653" max="6653" width="7.5" style="33" bestFit="1" customWidth="1"/>
    <col min="6654" max="6817" width="8.125" style="33"/>
    <col min="6818" max="6818" width="0.75" style="33" customWidth="1"/>
    <col min="6819" max="6871" width="2.375" style="33" customWidth="1"/>
    <col min="6872" max="6872" width="0" style="33" hidden="1" customWidth="1"/>
    <col min="6873" max="6873" width="0.75" style="33" customWidth="1"/>
    <col min="6874" max="6876" width="2.375" style="33" customWidth="1"/>
    <col min="6877" max="6877" width="12.125" style="33" bestFit="1" customWidth="1"/>
    <col min="6878" max="6878" width="13.625" style="33" bestFit="1" customWidth="1"/>
    <col min="6879" max="6879" width="8.25" style="33" bestFit="1" customWidth="1"/>
    <col min="6880" max="6880" width="10.75" style="33" bestFit="1" customWidth="1"/>
    <col min="6881" max="6892" width="2.375" style="33" customWidth="1"/>
    <col min="6893" max="6905" width="2.75" style="33" customWidth="1"/>
    <col min="6906" max="6908" width="8.125" style="33"/>
    <col min="6909" max="6909" width="7.5" style="33" bestFit="1" customWidth="1"/>
    <col min="6910" max="7073" width="8.125" style="33"/>
    <col min="7074" max="7074" width="0.75" style="33" customWidth="1"/>
    <col min="7075" max="7127" width="2.375" style="33" customWidth="1"/>
    <col min="7128" max="7128" width="0" style="33" hidden="1" customWidth="1"/>
    <col min="7129" max="7129" width="0.75" style="33" customWidth="1"/>
    <col min="7130" max="7132" width="2.375" style="33" customWidth="1"/>
    <col min="7133" max="7133" width="12.125" style="33" bestFit="1" customWidth="1"/>
    <col min="7134" max="7134" width="13.625" style="33" bestFit="1" customWidth="1"/>
    <col min="7135" max="7135" width="8.25" style="33" bestFit="1" customWidth="1"/>
    <col min="7136" max="7136" width="10.75" style="33" bestFit="1" customWidth="1"/>
    <col min="7137" max="7148" width="2.375" style="33" customWidth="1"/>
    <col min="7149" max="7161" width="2.75" style="33" customWidth="1"/>
    <col min="7162" max="7164" width="8.125" style="33"/>
    <col min="7165" max="7165" width="7.5" style="33" bestFit="1" customWidth="1"/>
    <col min="7166" max="7329" width="8.125" style="33"/>
    <col min="7330" max="7330" width="0.75" style="33" customWidth="1"/>
    <col min="7331" max="7383" width="2.375" style="33" customWidth="1"/>
    <col min="7384" max="7384" width="0" style="33" hidden="1" customWidth="1"/>
    <col min="7385" max="7385" width="0.75" style="33" customWidth="1"/>
    <col min="7386" max="7388" width="2.375" style="33" customWidth="1"/>
    <col min="7389" max="7389" width="12.125" style="33" bestFit="1" customWidth="1"/>
    <col min="7390" max="7390" width="13.625" style="33" bestFit="1" customWidth="1"/>
    <col min="7391" max="7391" width="8.25" style="33" bestFit="1" customWidth="1"/>
    <col min="7392" max="7392" width="10.75" style="33" bestFit="1" customWidth="1"/>
    <col min="7393" max="7404" width="2.375" style="33" customWidth="1"/>
    <col min="7405" max="7417" width="2.75" style="33" customWidth="1"/>
    <col min="7418" max="7420" width="8.125" style="33"/>
    <col min="7421" max="7421" width="7.5" style="33" bestFit="1" customWidth="1"/>
    <col min="7422" max="7585" width="8.125" style="33"/>
    <col min="7586" max="7586" width="0.75" style="33" customWidth="1"/>
    <col min="7587" max="7639" width="2.375" style="33" customWidth="1"/>
    <col min="7640" max="7640" width="0" style="33" hidden="1" customWidth="1"/>
    <col min="7641" max="7641" width="0.75" style="33" customWidth="1"/>
    <col min="7642" max="7644" width="2.375" style="33" customWidth="1"/>
    <col min="7645" max="7645" width="12.125" style="33" bestFit="1" customWidth="1"/>
    <col min="7646" max="7646" width="13.625" style="33" bestFit="1" customWidth="1"/>
    <col min="7647" max="7647" width="8.25" style="33" bestFit="1" customWidth="1"/>
    <col min="7648" max="7648" width="10.75" style="33" bestFit="1" customWidth="1"/>
    <col min="7649" max="7660" width="2.375" style="33" customWidth="1"/>
    <col min="7661" max="7673" width="2.75" style="33" customWidth="1"/>
    <col min="7674" max="7676" width="8.125" style="33"/>
    <col min="7677" max="7677" width="7.5" style="33" bestFit="1" customWidth="1"/>
    <col min="7678" max="7841" width="8.125" style="33"/>
    <col min="7842" max="7842" width="0.75" style="33" customWidth="1"/>
    <col min="7843" max="7895" width="2.375" style="33" customWidth="1"/>
    <col min="7896" max="7896" width="0" style="33" hidden="1" customWidth="1"/>
    <col min="7897" max="7897" width="0.75" style="33" customWidth="1"/>
    <col min="7898" max="7900" width="2.375" style="33" customWidth="1"/>
    <col min="7901" max="7901" width="12.125" style="33" bestFit="1" customWidth="1"/>
    <col min="7902" max="7902" width="13.625" style="33" bestFit="1" customWidth="1"/>
    <col min="7903" max="7903" width="8.25" style="33" bestFit="1" customWidth="1"/>
    <col min="7904" max="7904" width="10.75" style="33" bestFit="1" customWidth="1"/>
    <col min="7905" max="7916" width="2.375" style="33" customWidth="1"/>
    <col min="7917" max="7929" width="2.75" style="33" customWidth="1"/>
    <col min="7930" max="7932" width="8.125" style="33"/>
    <col min="7933" max="7933" width="7.5" style="33" bestFit="1" customWidth="1"/>
    <col min="7934" max="8097" width="8.125" style="33"/>
    <col min="8098" max="8098" width="0.75" style="33" customWidth="1"/>
    <col min="8099" max="8151" width="2.375" style="33" customWidth="1"/>
    <col min="8152" max="8152" width="0" style="33" hidden="1" customWidth="1"/>
    <col min="8153" max="8153" width="0.75" style="33" customWidth="1"/>
    <col min="8154" max="8156" width="2.375" style="33" customWidth="1"/>
    <col min="8157" max="8157" width="12.125" style="33" bestFit="1" customWidth="1"/>
    <col min="8158" max="8158" width="13.625" style="33" bestFit="1" customWidth="1"/>
    <col min="8159" max="8159" width="8.25" style="33" bestFit="1" customWidth="1"/>
    <col min="8160" max="8160" width="10.75" style="33" bestFit="1" customWidth="1"/>
    <col min="8161" max="8172" width="2.375" style="33" customWidth="1"/>
    <col min="8173" max="8185" width="2.75" style="33" customWidth="1"/>
    <col min="8186" max="8188" width="8.125" style="33"/>
    <col min="8189" max="8189" width="7.5" style="33" bestFit="1" customWidth="1"/>
    <col min="8190" max="8353" width="8.125" style="33"/>
    <col min="8354" max="8354" width="0.75" style="33" customWidth="1"/>
    <col min="8355" max="8407" width="2.375" style="33" customWidth="1"/>
    <col min="8408" max="8408" width="0" style="33" hidden="1" customWidth="1"/>
    <col min="8409" max="8409" width="0.75" style="33" customWidth="1"/>
    <col min="8410" max="8412" width="2.375" style="33" customWidth="1"/>
    <col min="8413" max="8413" width="12.125" style="33" bestFit="1" customWidth="1"/>
    <col min="8414" max="8414" width="13.625" style="33" bestFit="1" customWidth="1"/>
    <col min="8415" max="8415" width="8.25" style="33" bestFit="1" customWidth="1"/>
    <col min="8416" max="8416" width="10.75" style="33" bestFit="1" customWidth="1"/>
    <col min="8417" max="8428" width="2.375" style="33" customWidth="1"/>
    <col min="8429" max="8441" width="2.75" style="33" customWidth="1"/>
    <col min="8442" max="8444" width="8.125" style="33"/>
    <col min="8445" max="8445" width="7.5" style="33" bestFit="1" customWidth="1"/>
    <col min="8446" max="8609" width="8.125" style="33"/>
    <col min="8610" max="8610" width="0.75" style="33" customWidth="1"/>
    <col min="8611" max="8663" width="2.375" style="33" customWidth="1"/>
    <col min="8664" max="8664" width="0" style="33" hidden="1" customWidth="1"/>
    <col min="8665" max="8665" width="0.75" style="33" customWidth="1"/>
    <col min="8666" max="8668" width="2.375" style="33" customWidth="1"/>
    <col min="8669" max="8669" width="12.125" style="33" bestFit="1" customWidth="1"/>
    <col min="8670" max="8670" width="13.625" style="33" bestFit="1" customWidth="1"/>
    <col min="8671" max="8671" width="8.25" style="33" bestFit="1" customWidth="1"/>
    <col min="8672" max="8672" width="10.75" style="33" bestFit="1" customWidth="1"/>
    <col min="8673" max="8684" width="2.375" style="33" customWidth="1"/>
    <col min="8685" max="8697" width="2.75" style="33" customWidth="1"/>
    <col min="8698" max="8700" width="8.125" style="33"/>
    <col min="8701" max="8701" width="7.5" style="33" bestFit="1" customWidth="1"/>
    <col min="8702" max="8865" width="8.125" style="33"/>
    <col min="8866" max="8866" width="0.75" style="33" customWidth="1"/>
    <col min="8867" max="8919" width="2.375" style="33" customWidth="1"/>
    <col min="8920" max="8920" width="0" style="33" hidden="1" customWidth="1"/>
    <col min="8921" max="8921" width="0.75" style="33" customWidth="1"/>
    <col min="8922" max="8924" width="2.375" style="33" customWidth="1"/>
    <col min="8925" max="8925" width="12.125" style="33" bestFit="1" customWidth="1"/>
    <col min="8926" max="8926" width="13.625" style="33" bestFit="1" customWidth="1"/>
    <col min="8927" max="8927" width="8.25" style="33" bestFit="1" customWidth="1"/>
    <col min="8928" max="8928" width="10.75" style="33" bestFit="1" customWidth="1"/>
    <col min="8929" max="8940" width="2.375" style="33" customWidth="1"/>
    <col min="8941" max="8953" width="2.75" style="33" customWidth="1"/>
    <col min="8954" max="8956" width="8.125" style="33"/>
    <col min="8957" max="8957" width="7.5" style="33" bestFit="1" customWidth="1"/>
    <col min="8958" max="9121" width="8.125" style="33"/>
    <col min="9122" max="9122" width="0.75" style="33" customWidth="1"/>
    <col min="9123" max="9175" width="2.375" style="33" customWidth="1"/>
    <col min="9176" max="9176" width="0" style="33" hidden="1" customWidth="1"/>
    <col min="9177" max="9177" width="0.75" style="33" customWidth="1"/>
    <col min="9178" max="9180" width="2.375" style="33" customWidth="1"/>
    <col min="9181" max="9181" width="12.125" style="33" bestFit="1" customWidth="1"/>
    <col min="9182" max="9182" width="13.625" style="33" bestFit="1" customWidth="1"/>
    <col min="9183" max="9183" width="8.25" style="33" bestFit="1" customWidth="1"/>
    <col min="9184" max="9184" width="10.75" style="33" bestFit="1" customWidth="1"/>
    <col min="9185" max="9196" width="2.375" style="33" customWidth="1"/>
    <col min="9197" max="9209" width="2.75" style="33" customWidth="1"/>
    <col min="9210" max="9212" width="8.125" style="33"/>
    <col min="9213" max="9213" width="7.5" style="33" bestFit="1" customWidth="1"/>
    <col min="9214" max="9377" width="8.125" style="33"/>
    <col min="9378" max="9378" width="0.75" style="33" customWidth="1"/>
    <col min="9379" max="9431" width="2.375" style="33" customWidth="1"/>
    <col min="9432" max="9432" width="0" style="33" hidden="1" customWidth="1"/>
    <col min="9433" max="9433" width="0.75" style="33" customWidth="1"/>
    <col min="9434" max="9436" width="2.375" style="33" customWidth="1"/>
    <col min="9437" max="9437" width="12.125" style="33" bestFit="1" customWidth="1"/>
    <col min="9438" max="9438" width="13.625" style="33" bestFit="1" customWidth="1"/>
    <col min="9439" max="9439" width="8.25" style="33" bestFit="1" customWidth="1"/>
    <col min="9440" max="9440" width="10.75" style="33" bestFit="1" customWidth="1"/>
    <col min="9441" max="9452" width="2.375" style="33" customWidth="1"/>
    <col min="9453" max="9465" width="2.75" style="33" customWidth="1"/>
    <col min="9466" max="9468" width="8.125" style="33"/>
    <col min="9469" max="9469" width="7.5" style="33" bestFit="1" customWidth="1"/>
    <col min="9470" max="9633" width="8.125" style="33"/>
    <col min="9634" max="9634" width="0.75" style="33" customWidth="1"/>
    <col min="9635" max="9687" width="2.375" style="33" customWidth="1"/>
    <col min="9688" max="9688" width="0" style="33" hidden="1" customWidth="1"/>
    <col min="9689" max="9689" width="0.75" style="33" customWidth="1"/>
    <col min="9690" max="9692" width="2.375" style="33" customWidth="1"/>
    <col min="9693" max="9693" width="12.125" style="33" bestFit="1" customWidth="1"/>
    <col min="9694" max="9694" width="13.625" style="33" bestFit="1" customWidth="1"/>
    <col min="9695" max="9695" width="8.25" style="33" bestFit="1" customWidth="1"/>
    <col min="9696" max="9696" width="10.75" style="33" bestFit="1" customWidth="1"/>
    <col min="9697" max="9708" width="2.375" style="33" customWidth="1"/>
    <col min="9709" max="9721" width="2.75" style="33" customWidth="1"/>
    <col min="9722" max="9724" width="8.125" style="33"/>
    <col min="9725" max="9725" width="7.5" style="33" bestFit="1" customWidth="1"/>
    <col min="9726" max="9889" width="8.125" style="33"/>
    <col min="9890" max="9890" width="0.75" style="33" customWidth="1"/>
    <col min="9891" max="9943" width="2.375" style="33" customWidth="1"/>
    <col min="9944" max="9944" width="0" style="33" hidden="1" customWidth="1"/>
    <col min="9945" max="9945" width="0.75" style="33" customWidth="1"/>
    <col min="9946" max="9948" width="2.375" style="33" customWidth="1"/>
    <col min="9949" max="9949" width="12.125" style="33" bestFit="1" customWidth="1"/>
    <col min="9950" max="9950" width="13.625" style="33" bestFit="1" customWidth="1"/>
    <col min="9951" max="9951" width="8.25" style="33" bestFit="1" customWidth="1"/>
    <col min="9952" max="9952" width="10.75" style="33" bestFit="1" customWidth="1"/>
    <col min="9953" max="9964" width="2.375" style="33" customWidth="1"/>
    <col min="9965" max="9977" width="2.75" style="33" customWidth="1"/>
    <col min="9978" max="9980" width="8.125" style="33"/>
    <col min="9981" max="9981" width="7.5" style="33" bestFit="1" customWidth="1"/>
    <col min="9982" max="10145" width="8.125" style="33"/>
    <col min="10146" max="10146" width="0.75" style="33" customWidth="1"/>
    <col min="10147" max="10199" width="2.375" style="33" customWidth="1"/>
    <col min="10200" max="10200" width="0" style="33" hidden="1" customWidth="1"/>
    <col min="10201" max="10201" width="0.75" style="33" customWidth="1"/>
    <col min="10202" max="10204" width="2.375" style="33" customWidth="1"/>
    <col min="10205" max="10205" width="12.125" style="33" bestFit="1" customWidth="1"/>
    <col min="10206" max="10206" width="13.625" style="33" bestFit="1" customWidth="1"/>
    <col min="10207" max="10207" width="8.25" style="33" bestFit="1" customWidth="1"/>
    <col min="10208" max="10208" width="10.75" style="33" bestFit="1" customWidth="1"/>
    <col min="10209" max="10220" width="2.375" style="33" customWidth="1"/>
    <col min="10221" max="10233" width="2.75" style="33" customWidth="1"/>
    <col min="10234" max="10236" width="8.125" style="33"/>
    <col min="10237" max="10237" width="7.5" style="33" bestFit="1" customWidth="1"/>
    <col min="10238" max="10401" width="8.125" style="33"/>
    <col min="10402" max="10402" width="0.75" style="33" customWidth="1"/>
    <col min="10403" max="10455" width="2.375" style="33" customWidth="1"/>
    <col min="10456" max="10456" width="0" style="33" hidden="1" customWidth="1"/>
    <col min="10457" max="10457" width="0.75" style="33" customWidth="1"/>
    <col min="10458" max="10460" width="2.375" style="33" customWidth="1"/>
    <col min="10461" max="10461" width="12.125" style="33" bestFit="1" customWidth="1"/>
    <col min="10462" max="10462" width="13.625" style="33" bestFit="1" customWidth="1"/>
    <col min="10463" max="10463" width="8.25" style="33" bestFit="1" customWidth="1"/>
    <col min="10464" max="10464" width="10.75" style="33" bestFit="1" customWidth="1"/>
    <col min="10465" max="10476" width="2.375" style="33" customWidth="1"/>
    <col min="10477" max="10489" width="2.75" style="33" customWidth="1"/>
    <col min="10490" max="10492" width="8.125" style="33"/>
    <col min="10493" max="10493" width="7.5" style="33" bestFit="1" customWidth="1"/>
    <col min="10494" max="10657" width="8.125" style="33"/>
    <col min="10658" max="10658" width="0.75" style="33" customWidth="1"/>
    <col min="10659" max="10711" width="2.375" style="33" customWidth="1"/>
    <col min="10712" max="10712" width="0" style="33" hidden="1" customWidth="1"/>
    <col min="10713" max="10713" width="0.75" style="33" customWidth="1"/>
    <col min="10714" max="10716" width="2.375" style="33" customWidth="1"/>
    <col min="10717" max="10717" width="12.125" style="33" bestFit="1" customWidth="1"/>
    <col min="10718" max="10718" width="13.625" style="33" bestFit="1" customWidth="1"/>
    <col min="10719" max="10719" width="8.25" style="33" bestFit="1" customWidth="1"/>
    <col min="10720" max="10720" width="10.75" style="33" bestFit="1" customWidth="1"/>
    <col min="10721" max="10732" width="2.375" style="33" customWidth="1"/>
    <col min="10733" max="10745" width="2.75" style="33" customWidth="1"/>
    <col min="10746" max="10748" width="8.125" style="33"/>
    <col min="10749" max="10749" width="7.5" style="33" bestFit="1" customWidth="1"/>
    <col min="10750" max="10913" width="8.125" style="33"/>
    <col min="10914" max="10914" width="0.75" style="33" customWidth="1"/>
    <col min="10915" max="10967" width="2.375" style="33" customWidth="1"/>
    <col min="10968" max="10968" width="0" style="33" hidden="1" customWidth="1"/>
    <col min="10969" max="10969" width="0.75" style="33" customWidth="1"/>
    <col min="10970" max="10972" width="2.375" style="33" customWidth="1"/>
    <col min="10973" max="10973" width="12.125" style="33" bestFit="1" customWidth="1"/>
    <col min="10974" max="10974" width="13.625" style="33" bestFit="1" customWidth="1"/>
    <col min="10975" max="10975" width="8.25" style="33" bestFit="1" customWidth="1"/>
    <col min="10976" max="10976" width="10.75" style="33" bestFit="1" customWidth="1"/>
    <col min="10977" max="10988" width="2.375" style="33" customWidth="1"/>
    <col min="10989" max="11001" width="2.75" style="33" customWidth="1"/>
    <col min="11002" max="11004" width="8.125" style="33"/>
    <col min="11005" max="11005" width="7.5" style="33" bestFit="1" customWidth="1"/>
    <col min="11006" max="11169" width="8.125" style="33"/>
    <col min="11170" max="11170" width="0.75" style="33" customWidth="1"/>
    <col min="11171" max="11223" width="2.375" style="33" customWidth="1"/>
    <col min="11224" max="11224" width="0" style="33" hidden="1" customWidth="1"/>
    <col min="11225" max="11225" width="0.75" style="33" customWidth="1"/>
    <col min="11226" max="11228" width="2.375" style="33" customWidth="1"/>
    <col min="11229" max="11229" width="12.125" style="33" bestFit="1" customWidth="1"/>
    <col min="11230" max="11230" width="13.625" style="33" bestFit="1" customWidth="1"/>
    <col min="11231" max="11231" width="8.25" style="33" bestFit="1" customWidth="1"/>
    <col min="11232" max="11232" width="10.75" style="33" bestFit="1" customWidth="1"/>
    <col min="11233" max="11244" width="2.375" style="33" customWidth="1"/>
    <col min="11245" max="11257" width="2.75" style="33" customWidth="1"/>
    <col min="11258" max="11260" width="8.125" style="33"/>
    <col min="11261" max="11261" width="7.5" style="33" bestFit="1" customWidth="1"/>
    <col min="11262" max="11425" width="8.125" style="33"/>
    <col min="11426" max="11426" width="0.75" style="33" customWidth="1"/>
    <col min="11427" max="11479" width="2.375" style="33" customWidth="1"/>
    <col min="11480" max="11480" width="0" style="33" hidden="1" customWidth="1"/>
    <col min="11481" max="11481" width="0.75" style="33" customWidth="1"/>
    <col min="11482" max="11484" width="2.375" style="33" customWidth="1"/>
    <col min="11485" max="11485" width="12.125" style="33" bestFit="1" customWidth="1"/>
    <col min="11486" max="11486" width="13.625" style="33" bestFit="1" customWidth="1"/>
    <col min="11487" max="11487" width="8.25" style="33" bestFit="1" customWidth="1"/>
    <col min="11488" max="11488" width="10.75" style="33" bestFit="1" customWidth="1"/>
    <col min="11489" max="11500" width="2.375" style="33" customWidth="1"/>
    <col min="11501" max="11513" width="2.75" style="33" customWidth="1"/>
    <col min="11514" max="11516" width="8.125" style="33"/>
    <col min="11517" max="11517" width="7.5" style="33" bestFit="1" customWidth="1"/>
    <col min="11518" max="11681" width="8.125" style="33"/>
    <col min="11682" max="11682" width="0.75" style="33" customWidth="1"/>
    <col min="11683" max="11735" width="2.375" style="33" customWidth="1"/>
    <col min="11736" max="11736" width="0" style="33" hidden="1" customWidth="1"/>
    <col min="11737" max="11737" width="0.75" style="33" customWidth="1"/>
    <col min="11738" max="11740" width="2.375" style="33" customWidth="1"/>
    <col min="11741" max="11741" width="12.125" style="33" bestFit="1" customWidth="1"/>
    <col min="11742" max="11742" width="13.625" style="33" bestFit="1" customWidth="1"/>
    <col min="11743" max="11743" width="8.25" style="33" bestFit="1" customWidth="1"/>
    <col min="11744" max="11744" width="10.75" style="33" bestFit="1" customWidth="1"/>
    <col min="11745" max="11756" width="2.375" style="33" customWidth="1"/>
    <col min="11757" max="11769" width="2.75" style="33" customWidth="1"/>
    <col min="11770" max="11772" width="8.125" style="33"/>
    <col min="11773" max="11773" width="7.5" style="33" bestFit="1" customWidth="1"/>
    <col min="11774" max="11937" width="8.125" style="33"/>
    <col min="11938" max="11938" width="0.75" style="33" customWidth="1"/>
    <col min="11939" max="11991" width="2.375" style="33" customWidth="1"/>
    <col min="11992" max="11992" width="0" style="33" hidden="1" customWidth="1"/>
    <col min="11993" max="11993" width="0.75" style="33" customWidth="1"/>
    <col min="11994" max="11996" width="2.375" style="33" customWidth="1"/>
    <col min="11997" max="11997" width="12.125" style="33" bestFit="1" customWidth="1"/>
    <col min="11998" max="11998" width="13.625" style="33" bestFit="1" customWidth="1"/>
    <col min="11999" max="11999" width="8.25" style="33" bestFit="1" customWidth="1"/>
    <col min="12000" max="12000" width="10.75" style="33" bestFit="1" customWidth="1"/>
    <col min="12001" max="12012" width="2.375" style="33" customWidth="1"/>
    <col min="12013" max="12025" width="2.75" style="33" customWidth="1"/>
    <col min="12026" max="12028" width="8.125" style="33"/>
    <col min="12029" max="12029" width="7.5" style="33" bestFit="1" customWidth="1"/>
    <col min="12030" max="12193" width="8.125" style="33"/>
    <col min="12194" max="12194" width="0.75" style="33" customWidth="1"/>
    <col min="12195" max="12247" width="2.375" style="33" customWidth="1"/>
    <col min="12248" max="12248" width="0" style="33" hidden="1" customWidth="1"/>
    <col min="12249" max="12249" width="0.75" style="33" customWidth="1"/>
    <col min="12250" max="12252" width="2.375" style="33" customWidth="1"/>
    <col min="12253" max="12253" width="12.125" style="33" bestFit="1" customWidth="1"/>
    <col min="12254" max="12254" width="13.625" style="33" bestFit="1" customWidth="1"/>
    <col min="12255" max="12255" width="8.25" style="33" bestFit="1" customWidth="1"/>
    <col min="12256" max="12256" width="10.75" style="33" bestFit="1" customWidth="1"/>
    <col min="12257" max="12268" width="2.375" style="33" customWidth="1"/>
    <col min="12269" max="12281" width="2.75" style="33" customWidth="1"/>
    <col min="12282" max="12284" width="8.125" style="33"/>
    <col min="12285" max="12285" width="7.5" style="33" bestFit="1" customWidth="1"/>
    <col min="12286" max="12449" width="8.125" style="33"/>
    <col min="12450" max="12450" width="0.75" style="33" customWidth="1"/>
    <col min="12451" max="12503" width="2.375" style="33" customWidth="1"/>
    <col min="12504" max="12504" width="0" style="33" hidden="1" customWidth="1"/>
    <col min="12505" max="12505" width="0.75" style="33" customWidth="1"/>
    <col min="12506" max="12508" width="2.375" style="33" customWidth="1"/>
    <col min="12509" max="12509" width="12.125" style="33" bestFit="1" customWidth="1"/>
    <col min="12510" max="12510" width="13.625" style="33" bestFit="1" customWidth="1"/>
    <col min="12511" max="12511" width="8.25" style="33" bestFit="1" customWidth="1"/>
    <col min="12512" max="12512" width="10.75" style="33" bestFit="1" customWidth="1"/>
    <col min="12513" max="12524" width="2.375" style="33" customWidth="1"/>
    <col min="12525" max="12537" width="2.75" style="33" customWidth="1"/>
    <col min="12538" max="12540" width="8.125" style="33"/>
    <col min="12541" max="12541" width="7.5" style="33" bestFit="1" customWidth="1"/>
    <col min="12542" max="12705" width="8.125" style="33"/>
    <col min="12706" max="12706" width="0.75" style="33" customWidth="1"/>
    <col min="12707" max="12759" width="2.375" style="33" customWidth="1"/>
    <col min="12760" max="12760" width="0" style="33" hidden="1" customWidth="1"/>
    <col min="12761" max="12761" width="0.75" style="33" customWidth="1"/>
    <col min="12762" max="12764" width="2.375" style="33" customWidth="1"/>
    <col min="12765" max="12765" width="12.125" style="33" bestFit="1" customWidth="1"/>
    <col min="12766" max="12766" width="13.625" style="33" bestFit="1" customWidth="1"/>
    <col min="12767" max="12767" width="8.25" style="33" bestFit="1" customWidth="1"/>
    <col min="12768" max="12768" width="10.75" style="33" bestFit="1" customWidth="1"/>
    <col min="12769" max="12780" width="2.375" style="33" customWidth="1"/>
    <col min="12781" max="12793" width="2.75" style="33" customWidth="1"/>
    <col min="12794" max="12796" width="8.125" style="33"/>
    <col min="12797" max="12797" width="7.5" style="33" bestFit="1" customWidth="1"/>
    <col min="12798" max="12961" width="8.125" style="33"/>
    <col min="12962" max="12962" width="0.75" style="33" customWidth="1"/>
    <col min="12963" max="13015" width="2.375" style="33" customWidth="1"/>
    <col min="13016" max="13016" width="0" style="33" hidden="1" customWidth="1"/>
    <col min="13017" max="13017" width="0.75" style="33" customWidth="1"/>
    <col min="13018" max="13020" width="2.375" style="33" customWidth="1"/>
    <col min="13021" max="13021" width="12.125" style="33" bestFit="1" customWidth="1"/>
    <col min="13022" max="13022" width="13.625" style="33" bestFit="1" customWidth="1"/>
    <col min="13023" max="13023" width="8.25" style="33" bestFit="1" customWidth="1"/>
    <col min="13024" max="13024" width="10.75" style="33" bestFit="1" customWidth="1"/>
    <col min="13025" max="13036" width="2.375" style="33" customWidth="1"/>
    <col min="13037" max="13049" width="2.75" style="33" customWidth="1"/>
    <col min="13050" max="13052" width="8.125" style="33"/>
    <col min="13053" max="13053" width="7.5" style="33" bestFit="1" customWidth="1"/>
    <col min="13054" max="13217" width="8.125" style="33"/>
    <col min="13218" max="13218" width="0.75" style="33" customWidth="1"/>
    <col min="13219" max="13271" width="2.375" style="33" customWidth="1"/>
    <col min="13272" max="13272" width="0" style="33" hidden="1" customWidth="1"/>
    <col min="13273" max="13273" width="0.75" style="33" customWidth="1"/>
    <col min="13274" max="13276" width="2.375" style="33" customWidth="1"/>
    <col min="13277" max="13277" width="12.125" style="33" bestFit="1" customWidth="1"/>
    <col min="13278" max="13278" width="13.625" style="33" bestFit="1" customWidth="1"/>
    <col min="13279" max="13279" width="8.25" style="33" bestFit="1" customWidth="1"/>
    <col min="13280" max="13280" width="10.75" style="33" bestFit="1" customWidth="1"/>
    <col min="13281" max="13292" width="2.375" style="33" customWidth="1"/>
    <col min="13293" max="13305" width="2.75" style="33" customWidth="1"/>
    <col min="13306" max="13308" width="8.125" style="33"/>
    <col min="13309" max="13309" width="7.5" style="33" bestFit="1" customWidth="1"/>
    <col min="13310" max="13473" width="8.125" style="33"/>
    <col min="13474" max="13474" width="0.75" style="33" customWidth="1"/>
    <col min="13475" max="13527" width="2.375" style="33" customWidth="1"/>
    <col min="13528" max="13528" width="0" style="33" hidden="1" customWidth="1"/>
    <col min="13529" max="13529" width="0.75" style="33" customWidth="1"/>
    <col min="13530" max="13532" width="2.375" style="33" customWidth="1"/>
    <col min="13533" max="13533" width="12.125" style="33" bestFit="1" customWidth="1"/>
    <col min="13534" max="13534" width="13.625" style="33" bestFit="1" customWidth="1"/>
    <col min="13535" max="13535" width="8.25" style="33" bestFit="1" customWidth="1"/>
    <col min="13536" max="13536" width="10.75" style="33" bestFit="1" customWidth="1"/>
    <col min="13537" max="13548" width="2.375" style="33" customWidth="1"/>
    <col min="13549" max="13561" width="2.75" style="33" customWidth="1"/>
    <col min="13562" max="13564" width="8.125" style="33"/>
    <col min="13565" max="13565" width="7.5" style="33" bestFit="1" customWidth="1"/>
    <col min="13566" max="13729" width="8.125" style="33"/>
    <col min="13730" max="13730" width="0.75" style="33" customWidth="1"/>
    <col min="13731" max="13783" width="2.375" style="33" customWidth="1"/>
    <col min="13784" max="13784" width="0" style="33" hidden="1" customWidth="1"/>
    <col min="13785" max="13785" width="0.75" style="33" customWidth="1"/>
    <col min="13786" max="13788" width="2.375" style="33" customWidth="1"/>
    <col min="13789" max="13789" width="12.125" style="33" bestFit="1" customWidth="1"/>
    <col min="13790" max="13790" width="13.625" style="33" bestFit="1" customWidth="1"/>
    <col min="13791" max="13791" width="8.25" style="33" bestFit="1" customWidth="1"/>
    <col min="13792" max="13792" width="10.75" style="33" bestFit="1" customWidth="1"/>
    <col min="13793" max="13804" width="2.375" style="33" customWidth="1"/>
    <col min="13805" max="13817" width="2.75" style="33" customWidth="1"/>
    <col min="13818" max="13820" width="8.125" style="33"/>
    <col min="13821" max="13821" width="7.5" style="33" bestFit="1" customWidth="1"/>
    <col min="13822" max="13985" width="8.125" style="33"/>
    <col min="13986" max="13986" width="0.75" style="33" customWidth="1"/>
    <col min="13987" max="14039" width="2.375" style="33" customWidth="1"/>
    <col min="14040" max="14040" width="0" style="33" hidden="1" customWidth="1"/>
    <col min="14041" max="14041" width="0.75" style="33" customWidth="1"/>
    <col min="14042" max="14044" width="2.375" style="33" customWidth="1"/>
    <col min="14045" max="14045" width="12.125" style="33" bestFit="1" customWidth="1"/>
    <col min="14046" max="14046" width="13.625" style="33" bestFit="1" customWidth="1"/>
    <col min="14047" max="14047" width="8.25" style="33" bestFit="1" customWidth="1"/>
    <col min="14048" max="14048" width="10.75" style="33" bestFit="1" customWidth="1"/>
    <col min="14049" max="14060" width="2.375" style="33" customWidth="1"/>
    <col min="14061" max="14073" width="2.75" style="33" customWidth="1"/>
    <col min="14074" max="14076" width="8.125" style="33"/>
    <col min="14077" max="14077" width="7.5" style="33" bestFit="1" customWidth="1"/>
    <col min="14078" max="14241" width="8.125" style="33"/>
    <col min="14242" max="14242" width="0.75" style="33" customWidth="1"/>
    <col min="14243" max="14295" width="2.375" style="33" customWidth="1"/>
    <col min="14296" max="14296" width="0" style="33" hidden="1" customWidth="1"/>
    <col min="14297" max="14297" width="0.75" style="33" customWidth="1"/>
    <col min="14298" max="14300" width="2.375" style="33" customWidth="1"/>
    <col min="14301" max="14301" width="12.125" style="33" bestFit="1" customWidth="1"/>
    <col min="14302" max="14302" width="13.625" style="33" bestFit="1" customWidth="1"/>
    <col min="14303" max="14303" width="8.25" style="33" bestFit="1" customWidth="1"/>
    <col min="14304" max="14304" width="10.75" style="33" bestFit="1" customWidth="1"/>
    <col min="14305" max="14316" width="2.375" style="33" customWidth="1"/>
    <col min="14317" max="14329" width="2.75" style="33" customWidth="1"/>
    <col min="14330" max="14332" width="8.125" style="33"/>
    <col min="14333" max="14333" width="7.5" style="33" bestFit="1" customWidth="1"/>
    <col min="14334" max="14497" width="8.125" style="33"/>
    <col min="14498" max="14498" width="0.75" style="33" customWidth="1"/>
    <col min="14499" max="14551" width="2.375" style="33" customWidth="1"/>
    <col min="14552" max="14552" width="0" style="33" hidden="1" customWidth="1"/>
    <col min="14553" max="14553" width="0.75" style="33" customWidth="1"/>
    <col min="14554" max="14556" width="2.375" style="33" customWidth="1"/>
    <col min="14557" max="14557" width="12.125" style="33" bestFit="1" customWidth="1"/>
    <col min="14558" max="14558" width="13.625" style="33" bestFit="1" customWidth="1"/>
    <col min="14559" max="14559" width="8.25" style="33" bestFit="1" customWidth="1"/>
    <col min="14560" max="14560" width="10.75" style="33" bestFit="1" customWidth="1"/>
    <col min="14561" max="14572" width="2.375" style="33" customWidth="1"/>
    <col min="14573" max="14585" width="2.75" style="33" customWidth="1"/>
    <col min="14586" max="14588" width="8.125" style="33"/>
    <col min="14589" max="14589" width="7.5" style="33" bestFit="1" customWidth="1"/>
    <col min="14590" max="14753" width="8.125" style="33"/>
    <col min="14754" max="14754" width="0.75" style="33" customWidth="1"/>
    <col min="14755" max="14807" width="2.375" style="33" customWidth="1"/>
    <col min="14808" max="14808" width="0" style="33" hidden="1" customWidth="1"/>
    <col min="14809" max="14809" width="0.75" style="33" customWidth="1"/>
    <col min="14810" max="14812" width="2.375" style="33" customWidth="1"/>
    <col min="14813" max="14813" width="12.125" style="33" bestFit="1" customWidth="1"/>
    <col min="14814" max="14814" width="13.625" style="33" bestFit="1" customWidth="1"/>
    <col min="14815" max="14815" width="8.25" style="33" bestFit="1" customWidth="1"/>
    <col min="14816" max="14816" width="10.75" style="33" bestFit="1" customWidth="1"/>
    <col min="14817" max="14828" width="2.375" style="33" customWidth="1"/>
    <col min="14829" max="14841" width="2.75" style="33" customWidth="1"/>
    <col min="14842" max="14844" width="8.125" style="33"/>
    <col min="14845" max="14845" width="7.5" style="33" bestFit="1" customWidth="1"/>
    <col min="14846" max="15009" width="8.125" style="33"/>
    <col min="15010" max="15010" width="0.75" style="33" customWidth="1"/>
    <col min="15011" max="15063" width="2.375" style="33" customWidth="1"/>
    <col min="15064" max="15064" width="0" style="33" hidden="1" customWidth="1"/>
    <col min="15065" max="15065" width="0.75" style="33" customWidth="1"/>
    <col min="15066" max="15068" width="2.375" style="33" customWidth="1"/>
    <col min="15069" max="15069" width="12.125" style="33" bestFit="1" customWidth="1"/>
    <col min="15070" max="15070" width="13.625" style="33" bestFit="1" customWidth="1"/>
    <col min="15071" max="15071" width="8.25" style="33" bestFit="1" customWidth="1"/>
    <col min="15072" max="15072" width="10.75" style="33" bestFit="1" customWidth="1"/>
    <col min="15073" max="15084" width="2.375" style="33" customWidth="1"/>
    <col min="15085" max="15097" width="2.75" style="33" customWidth="1"/>
    <col min="15098" max="15100" width="8.125" style="33"/>
    <col min="15101" max="15101" width="7.5" style="33" bestFit="1" customWidth="1"/>
    <col min="15102" max="15265" width="8.125" style="33"/>
    <col min="15266" max="15266" width="0.75" style="33" customWidth="1"/>
    <col min="15267" max="15319" width="2.375" style="33" customWidth="1"/>
    <col min="15320" max="15320" width="0" style="33" hidden="1" customWidth="1"/>
    <col min="15321" max="15321" width="0.75" style="33" customWidth="1"/>
    <col min="15322" max="15324" width="2.375" style="33" customWidth="1"/>
    <col min="15325" max="15325" width="12.125" style="33" bestFit="1" customWidth="1"/>
    <col min="15326" max="15326" width="13.625" style="33" bestFit="1" customWidth="1"/>
    <col min="15327" max="15327" width="8.25" style="33" bestFit="1" customWidth="1"/>
    <col min="15328" max="15328" width="10.75" style="33" bestFit="1" customWidth="1"/>
    <col min="15329" max="15340" width="2.375" style="33" customWidth="1"/>
    <col min="15341" max="15353" width="2.75" style="33" customWidth="1"/>
    <col min="15354" max="15356" width="8.125" style="33"/>
    <col min="15357" max="15357" width="7.5" style="33" bestFit="1" customWidth="1"/>
    <col min="15358" max="15521" width="8.125" style="33"/>
    <col min="15522" max="15522" width="0.75" style="33" customWidth="1"/>
    <col min="15523" max="15575" width="2.375" style="33" customWidth="1"/>
    <col min="15576" max="15576" width="0" style="33" hidden="1" customWidth="1"/>
    <col min="15577" max="15577" width="0.75" style="33" customWidth="1"/>
    <col min="15578" max="15580" width="2.375" style="33" customWidth="1"/>
    <col min="15581" max="15581" width="12.125" style="33" bestFit="1" customWidth="1"/>
    <col min="15582" max="15582" width="13.625" style="33" bestFit="1" customWidth="1"/>
    <col min="15583" max="15583" width="8.25" style="33" bestFit="1" customWidth="1"/>
    <col min="15584" max="15584" width="10.75" style="33" bestFit="1" customWidth="1"/>
    <col min="15585" max="15596" width="2.375" style="33" customWidth="1"/>
    <col min="15597" max="15609" width="2.75" style="33" customWidth="1"/>
    <col min="15610" max="15612" width="8.125" style="33"/>
    <col min="15613" max="15613" width="7.5" style="33" bestFit="1" customWidth="1"/>
    <col min="15614" max="15777" width="8.125" style="33"/>
    <col min="15778" max="15778" width="0.75" style="33" customWidth="1"/>
    <col min="15779" max="15831" width="2.375" style="33" customWidth="1"/>
    <col min="15832" max="15832" width="0" style="33" hidden="1" customWidth="1"/>
    <col min="15833" max="15833" width="0.75" style="33" customWidth="1"/>
    <col min="15834" max="15836" width="2.375" style="33" customWidth="1"/>
    <col min="15837" max="15837" width="12.125" style="33" bestFit="1" customWidth="1"/>
    <col min="15838" max="15838" width="13.625" style="33" bestFit="1" customWidth="1"/>
    <col min="15839" max="15839" width="8.25" style="33" bestFit="1" customWidth="1"/>
    <col min="15840" max="15840" width="10.75" style="33" bestFit="1" customWidth="1"/>
    <col min="15841" max="15852" width="2.375" style="33" customWidth="1"/>
    <col min="15853" max="15865" width="2.75" style="33" customWidth="1"/>
    <col min="15866" max="15868" width="8.125" style="33"/>
    <col min="15869" max="15869" width="7.5" style="33" bestFit="1" customWidth="1"/>
    <col min="15870" max="16033" width="8.125" style="33"/>
    <col min="16034" max="16034" width="0.75" style="33" customWidth="1"/>
    <col min="16035" max="16087" width="2.375" style="33" customWidth="1"/>
    <col min="16088" max="16088" width="0" style="33" hidden="1" customWidth="1"/>
    <col min="16089" max="16089" width="0.75" style="33" customWidth="1"/>
    <col min="16090" max="16092" width="2.375" style="33" customWidth="1"/>
    <col min="16093" max="16093" width="12.125" style="33" bestFit="1" customWidth="1"/>
    <col min="16094" max="16094" width="13.625" style="33" bestFit="1" customWidth="1"/>
    <col min="16095" max="16095" width="8.25" style="33" bestFit="1" customWidth="1"/>
    <col min="16096" max="16096" width="10.75" style="33" bestFit="1" customWidth="1"/>
    <col min="16097" max="16108" width="2.375" style="33" customWidth="1"/>
    <col min="16109" max="16121" width="2.75" style="33" customWidth="1"/>
    <col min="16122" max="16124" width="8.125" style="33"/>
    <col min="16125" max="16125" width="7.5" style="33" bestFit="1" customWidth="1"/>
    <col min="16126" max="16384" width="8.125" style="33"/>
  </cols>
  <sheetData>
    <row r="1" spans="1:56" s="3" customFormat="1" ht="6.75" customHeight="1" thickBo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2" spans="1:56" s="3" customFormat="1" ht="20.25" customHeight="1" thickTop="1" thickBot="1">
      <c r="A2" s="1"/>
      <c r="B2" s="165" t="s">
        <v>40</v>
      </c>
      <c r="C2" s="166"/>
      <c r="D2" s="166"/>
      <c r="E2" s="166"/>
      <c r="F2" s="166"/>
      <c r="G2" s="166"/>
      <c r="H2" s="166"/>
      <c r="I2" s="166"/>
      <c r="J2" s="166"/>
      <c r="K2" s="167"/>
      <c r="L2" s="171" t="s">
        <v>0</v>
      </c>
      <c r="M2" s="172"/>
      <c r="N2" s="172"/>
      <c r="O2" s="172"/>
      <c r="P2" s="172"/>
      <c r="Q2" s="173"/>
      <c r="R2" s="174" t="s">
        <v>1</v>
      </c>
      <c r="S2" s="172"/>
      <c r="T2" s="172"/>
      <c r="U2" s="172"/>
      <c r="V2" s="172"/>
      <c r="W2" s="173"/>
      <c r="X2" s="174" t="s">
        <v>2</v>
      </c>
      <c r="Y2" s="172"/>
      <c r="Z2" s="172"/>
      <c r="AA2" s="172"/>
      <c r="AB2" s="172"/>
      <c r="AC2" s="173"/>
      <c r="AD2" s="175" t="s">
        <v>3</v>
      </c>
      <c r="AE2" s="176"/>
      <c r="AF2" s="176"/>
      <c r="AG2" s="176"/>
      <c r="AH2" s="176"/>
      <c r="AI2" s="176"/>
      <c r="AJ2" s="176"/>
      <c r="AK2" s="177"/>
      <c r="AL2" s="181" t="s">
        <v>4</v>
      </c>
      <c r="AM2" s="182"/>
      <c r="AN2" s="182"/>
      <c r="AO2" s="183"/>
      <c r="AP2" s="181" t="s">
        <v>5</v>
      </c>
      <c r="AQ2" s="182"/>
      <c r="AR2" s="182"/>
      <c r="AS2" s="183"/>
      <c r="AT2" s="184" t="s">
        <v>6</v>
      </c>
      <c r="AU2" s="185"/>
      <c r="AV2" s="185"/>
      <c r="AW2" s="185"/>
      <c r="AX2" s="186"/>
      <c r="AY2" s="187" t="s">
        <v>7</v>
      </c>
      <c r="AZ2" s="188"/>
      <c r="BA2" s="188"/>
      <c r="BB2" s="189"/>
      <c r="BC2" s="4"/>
      <c r="BD2" s="1"/>
    </row>
    <row r="3" spans="1:56" s="3" customFormat="1" ht="20.25" customHeight="1" thickBot="1">
      <c r="A3" s="1"/>
      <c r="B3" s="168"/>
      <c r="C3" s="169"/>
      <c r="D3" s="169"/>
      <c r="E3" s="169"/>
      <c r="F3" s="169"/>
      <c r="G3" s="169"/>
      <c r="H3" s="169"/>
      <c r="I3" s="169"/>
      <c r="J3" s="169"/>
      <c r="K3" s="170"/>
      <c r="L3" s="5" t="s">
        <v>8</v>
      </c>
      <c r="M3" s="190"/>
      <c r="N3" s="191"/>
      <c r="O3" s="191"/>
      <c r="P3" s="191"/>
      <c r="Q3" s="192"/>
      <c r="R3" s="6" t="s">
        <v>8</v>
      </c>
      <c r="S3" s="193"/>
      <c r="T3" s="194"/>
      <c r="U3" s="194"/>
      <c r="V3" s="194"/>
      <c r="W3" s="195"/>
      <c r="X3" s="6" t="s">
        <v>8</v>
      </c>
      <c r="Y3" s="193"/>
      <c r="Z3" s="194"/>
      <c r="AA3" s="194"/>
      <c r="AB3" s="194"/>
      <c r="AC3" s="195"/>
      <c r="AD3" s="178"/>
      <c r="AE3" s="179"/>
      <c r="AF3" s="179"/>
      <c r="AG3" s="179"/>
      <c r="AH3" s="179"/>
      <c r="AI3" s="179"/>
      <c r="AJ3" s="179"/>
      <c r="AK3" s="180"/>
      <c r="AL3" s="196">
        <f>E7</f>
        <v>46139</v>
      </c>
      <c r="AM3" s="197"/>
      <c r="AN3" s="197"/>
      <c r="AO3" s="198"/>
      <c r="AP3" s="196">
        <v>46177</v>
      </c>
      <c r="AQ3" s="197"/>
      <c r="AR3" s="197"/>
      <c r="AS3" s="198"/>
      <c r="AT3" s="199" t="str">
        <f>K7</f>
        <v>野村　翼</v>
      </c>
      <c r="AU3" s="200"/>
      <c r="AV3" s="200"/>
      <c r="AW3" s="200"/>
      <c r="AX3" s="201"/>
      <c r="AY3" s="181" t="str">
        <f>"第"&amp;TEXT(MAX(R7:V36),"0.0")&amp;"版"</f>
        <v>第1.6版</v>
      </c>
      <c r="AZ3" s="182"/>
      <c r="BA3" s="182"/>
      <c r="BB3" s="183"/>
      <c r="BC3" s="7"/>
      <c r="BD3" s="1"/>
    </row>
    <row r="4" spans="1:56" s="3" customFormat="1" ht="6.75" customHeight="1" thickTop="1">
      <c r="A4" s="8"/>
      <c r="B4" s="8"/>
      <c r="C4" s="163"/>
      <c r="D4" s="163"/>
      <c r="E4" s="163"/>
      <c r="F4" s="163"/>
      <c r="G4" s="163"/>
      <c r="H4" s="164"/>
      <c r="I4" s="164"/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6"/>
      <c r="AE4" s="156"/>
      <c r="AF4" s="9"/>
      <c r="AG4" s="9"/>
      <c r="AH4" s="9"/>
      <c r="AI4" s="156"/>
      <c r="AJ4" s="156"/>
      <c r="AK4" s="9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9"/>
      <c r="BC4" s="8"/>
      <c r="BD4" s="8"/>
    </row>
    <row r="5" spans="1:56" s="10" customFormat="1" ht="7.15" customHeight="1"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3"/>
      <c r="BC5" s="14"/>
    </row>
    <row r="6" spans="1:56" s="10" customFormat="1" ht="12" customHeight="1">
      <c r="B6" s="15"/>
      <c r="C6" s="160" t="s">
        <v>9</v>
      </c>
      <c r="D6" s="161"/>
      <c r="E6" s="160" t="s">
        <v>10</v>
      </c>
      <c r="F6" s="162"/>
      <c r="G6" s="162"/>
      <c r="H6" s="162"/>
      <c r="I6" s="162"/>
      <c r="J6" s="161"/>
      <c r="K6" s="160" t="s">
        <v>11</v>
      </c>
      <c r="L6" s="162"/>
      <c r="M6" s="162"/>
      <c r="N6" s="162"/>
      <c r="O6" s="162"/>
      <c r="P6" s="162"/>
      <c r="Q6" s="161"/>
      <c r="R6" s="160" t="s">
        <v>12</v>
      </c>
      <c r="S6" s="162"/>
      <c r="T6" s="162"/>
      <c r="U6" s="162"/>
      <c r="V6" s="161"/>
      <c r="W6" s="160" t="s">
        <v>13</v>
      </c>
      <c r="X6" s="162"/>
      <c r="Y6" s="162"/>
      <c r="Z6" s="162"/>
      <c r="AA6" s="162"/>
      <c r="AB6" s="162"/>
      <c r="AC6" s="162"/>
      <c r="AD6" s="162"/>
      <c r="AE6" s="162"/>
      <c r="AF6" s="162"/>
      <c r="AG6" s="162"/>
      <c r="AH6" s="162"/>
      <c r="AI6" s="162"/>
      <c r="AJ6" s="162"/>
      <c r="AK6" s="162"/>
      <c r="AL6" s="162"/>
      <c r="AM6" s="162"/>
      <c r="AN6" s="162"/>
      <c r="AO6" s="162"/>
      <c r="AP6" s="162"/>
      <c r="AQ6" s="162"/>
      <c r="AR6" s="162"/>
      <c r="AS6" s="162"/>
      <c r="AT6" s="162"/>
      <c r="AU6" s="162"/>
      <c r="AV6" s="162"/>
      <c r="AW6" s="162"/>
      <c r="AX6" s="162"/>
      <c r="AY6" s="162"/>
      <c r="AZ6" s="162"/>
      <c r="BA6" s="161"/>
      <c r="BB6" s="16"/>
      <c r="BC6" s="17"/>
    </row>
    <row r="7" spans="1:56" s="18" customFormat="1" ht="12" customHeight="1">
      <c r="B7" s="19"/>
      <c r="C7" s="138">
        <v>1</v>
      </c>
      <c r="D7" s="139"/>
      <c r="E7" s="140">
        <v>46139</v>
      </c>
      <c r="F7" s="141"/>
      <c r="G7" s="141"/>
      <c r="H7" s="141"/>
      <c r="I7" s="141"/>
      <c r="J7" s="142"/>
      <c r="K7" s="138" t="s">
        <v>41</v>
      </c>
      <c r="L7" s="143"/>
      <c r="M7" s="143"/>
      <c r="N7" s="143"/>
      <c r="O7" s="143"/>
      <c r="P7" s="143"/>
      <c r="Q7" s="139"/>
      <c r="R7" s="144">
        <v>1</v>
      </c>
      <c r="S7" s="145"/>
      <c r="T7" s="145"/>
      <c r="U7" s="145"/>
      <c r="V7" s="146"/>
      <c r="W7" s="20" t="s">
        <v>14</v>
      </c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1"/>
      <c r="BB7" s="22"/>
      <c r="BC7" s="23"/>
    </row>
    <row r="8" spans="1:56" s="18" customFormat="1">
      <c r="B8" s="19"/>
      <c r="C8" s="138">
        <f>C7+1</f>
        <v>2</v>
      </c>
      <c r="D8" s="139"/>
      <c r="E8" s="140">
        <v>46139</v>
      </c>
      <c r="F8" s="141"/>
      <c r="G8" s="141"/>
      <c r="H8" s="141"/>
      <c r="I8" s="141"/>
      <c r="J8" s="142"/>
      <c r="K8" s="138" t="s">
        <v>41</v>
      </c>
      <c r="L8" s="143"/>
      <c r="M8" s="143"/>
      <c r="N8" s="143"/>
      <c r="O8" s="143"/>
      <c r="P8" s="143"/>
      <c r="Q8" s="139"/>
      <c r="R8" s="144">
        <v>1.1000000000000001</v>
      </c>
      <c r="S8" s="145"/>
      <c r="T8" s="145"/>
      <c r="U8" s="145"/>
      <c r="V8" s="146"/>
      <c r="W8" s="157" t="s">
        <v>65</v>
      </c>
      <c r="X8" s="158"/>
      <c r="Y8" s="158"/>
      <c r="Z8" s="158"/>
      <c r="AA8" s="158"/>
      <c r="AB8" s="158"/>
      <c r="AC8" s="158"/>
      <c r="AD8" s="158"/>
      <c r="AE8" s="158"/>
      <c r="AF8" s="158"/>
      <c r="AG8" s="158"/>
      <c r="AH8" s="158"/>
      <c r="AI8" s="158"/>
      <c r="AJ8" s="158"/>
      <c r="AK8" s="158"/>
      <c r="AL8" s="158"/>
      <c r="AM8" s="158"/>
      <c r="AN8" s="158"/>
      <c r="AO8" s="158"/>
      <c r="AP8" s="158"/>
      <c r="AQ8" s="158"/>
      <c r="AR8" s="158"/>
      <c r="AS8" s="158"/>
      <c r="AT8" s="158"/>
      <c r="AU8" s="158"/>
      <c r="AV8" s="158"/>
      <c r="AW8" s="158"/>
      <c r="AX8" s="158"/>
      <c r="AY8" s="158"/>
      <c r="AZ8" s="158"/>
      <c r="BA8" s="159"/>
      <c r="BB8" s="22"/>
      <c r="BC8" s="23"/>
    </row>
    <row r="9" spans="1:56" s="18" customFormat="1" ht="12" customHeight="1">
      <c r="B9" s="19"/>
      <c r="C9" s="138">
        <f t="shared" ref="C9:C36" si="0">C8+1</f>
        <v>3</v>
      </c>
      <c r="D9" s="139"/>
      <c r="E9" s="140">
        <v>46139</v>
      </c>
      <c r="F9" s="141"/>
      <c r="G9" s="141"/>
      <c r="H9" s="141"/>
      <c r="I9" s="141"/>
      <c r="J9" s="142"/>
      <c r="K9" s="138" t="s">
        <v>41</v>
      </c>
      <c r="L9" s="143"/>
      <c r="M9" s="143"/>
      <c r="N9" s="143"/>
      <c r="O9" s="143"/>
      <c r="P9" s="143"/>
      <c r="Q9" s="139"/>
      <c r="R9" s="144">
        <v>1.2</v>
      </c>
      <c r="S9" s="145"/>
      <c r="T9" s="145"/>
      <c r="U9" s="145"/>
      <c r="V9" s="146"/>
      <c r="W9" s="157" t="s">
        <v>68</v>
      </c>
      <c r="X9" s="158"/>
      <c r="Y9" s="158"/>
      <c r="Z9" s="158"/>
      <c r="AA9" s="158"/>
      <c r="AB9" s="158"/>
      <c r="AC9" s="158"/>
      <c r="AD9" s="158"/>
      <c r="AE9" s="158"/>
      <c r="AF9" s="158"/>
      <c r="AG9" s="158"/>
      <c r="AH9" s="158"/>
      <c r="AI9" s="158"/>
      <c r="AJ9" s="158"/>
      <c r="AK9" s="158"/>
      <c r="AL9" s="158"/>
      <c r="AM9" s="158"/>
      <c r="AN9" s="158"/>
      <c r="AO9" s="158"/>
      <c r="AP9" s="158"/>
      <c r="AQ9" s="158"/>
      <c r="AR9" s="158"/>
      <c r="AS9" s="158"/>
      <c r="AT9" s="158"/>
      <c r="AU9" s="158"/>
      <c r="AV9" s="158"/>
      <c r="AW9" s="158"/>
      <c r="AX9" s="158"/>
      <c r="AY9" s="158"/>
      <c r="AZ9" s="158"/>
      <c r="BA9" s="159"/>
      <c r="BB9" s="22"/>
      <c r="BC9" s="23"/>
    </row>
    <row r="10" spans="1:56" s="18" customFormat="1" ht="12" customHeight="1">
      <c r="B10" s="19"/>
      <c r="C10" s="138">
        <f t="shared" si="0"/>
        <v>4</v>
      </c>
      <c r="D10" s="139"/>
      <c r="E10" s="140">
        <v>46139</v>
      </c>
      <c r="F10" s="141"/>
      <c r="G10" s="141"/>
      <c r="H10" s="141"/>
      <c r="I10" s="141"/>
      <c r="J10" s="142"/>
      <c r="K10" s="138" t="s">
        <v>41</v>
      </c>
      <c r="L10" s="143"/>
      <c r="M10" s="143"/>
      <c r="N10" s="143"/>
      <c r="O10" s="143"/>
      <c r="P10" s="143"/>
      <c r="Q10" s="139"/>
      <c r="R10" s="144">
        <v>1.3</v>
      </c>
      <c r="S10" s="145"/>
      <c r="T10" s="145"/>
      <c r="U10" s="145"/>
      <c r="V10" s="146"/>
      <c r="W10" s="157" t="s">
        <v>71</v>
      </c>
      <c r="X10" s="158"/>
      <c r="Y10" s="158"/>
      <c r="Z10" s="158"/>
      <c r="AA10" s="158"/>
      <c r="AB10" s="158"/>
      <c r="AC10" s="158"/>
      <c r="AD10" s="158"/>
      <c r="AE10" s="158"/>
      <c r="AF10" s="158"/>
      <c r="AG10" s="158"/>
      <c r="AH10" s="158"/>
      <c r="AI10" s="158"/>
      <c r="AJ10" s="158"/>
      <c r="AK10" s="158"/>
      <c r="AL10" s="158"/>
      <c r="AM10" s="158"/>
      <c r="AN10" s="158"/>
      <c r="AO10" s="158"/>
      <c r="AP10" s="158"/>
      <c r="AQ10" s="158"/>
      <c r="AR10" s="158"/>
      <c r="AS10" s="158"/>
      <c r="AT10" s="158"/>
      <c r="AU10" s="158"/>
      <c r="AV10" s="158"/>
      <c r="AW10" s="158"/>
      <c r="AX10" s="158"/>
      <c r="AY10" s="158"/>
      <c r="AZ10" s="158"/>
      <c r="BA10" s="159"/>
      <c r="BB10" s="22"/>
      <c r="BC10" s="23"/>
    </row>
    <row r="11" spans="1:56" s="18" customFormat="1" ht="12" customHeight="1">
      <c r="B11" s="19"/>
      <c r="C11" s="138">
        <f t="shared" si="0"/>
        <v>5</v>
      </c>
      <c r="D11" s="139"/>
      <c r="E11" s="147">
        <v>46153</v>
      </c>
      <c r="F11" s="148"/>
      <c r="G11" s="148"/>
      <c r="H11" s="148"/>
      <c r="I11" s="148"/>
      <c r="J11" s="149"/>
      <c r="K11" s="138" t="s">
        <v>41</v>
      </c>
      <c r="L11" s="143"/>
      <c r="M11" s="143"/>
      <c r="N11" s="143"/>
      <c r="O11" s="143"/>
      <c r="P11" s="143"/>
      <c r="Q11" s="139"/>
      <c r="R11" s="144">
        <v>1.4</v>
      </c>
      <c r="S11" s="145"/>
      <c r="T11" s="145"/>
      <c r="U11" s="145"/>
      <c r="V11" s="146"/>
      <c r="W11" s="24" t="s">
        <v>73</v>
      </c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5"/>
      <c r="BB11" s="22"/>
      <c r="BC11" s="23"/>
    </row>
    <row r="12" spans="1:56" s="18" customFormat="1" ht="12" customHeight="1">
      <c r="B12" s="19"/>
      <c r="C12" s="138">
        <f t="shared" si="0"/>
        <v>6</v>
      </c>
      <c r="D12" s="139"/>
      <c r="E12" s="140">
        <v>46167</v>
      </c>
      <c r="F12" s="141"/>
      <c r="G12" s="141"/>
      <c r="H12" s="141"/>
      <c r="I12" s="141"/>
      <c r="J12" s="142"/>
      <c r="K12" s="138" t="s">
        <v>41</v>
      </c>
      <c r="L12" s="143"/>
      <c r="M12" s="143"/>
      <c r="N12" s="143"/>
      <c r="O12" s="143"/>
      <c r="P12" s="143"/>
      <c r="Q12" s="139"/>
      <c r="R12" s="144">
        <v>1.5</v>
      </c>
      <c r="S12" s="145"/>
      <c r="T12" s="145"/>
      <c r="U12" s="145"/>
      <c r="V12" s="146"/>
      <c r="W12" s="20" t="s">
        <v>74</v>
      </c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1"/>
      <c r="BB12" s="22"/>
      <c r="BC12" s="23"/>
    </row>
    <row r="13" spans="1:56" s="18" customFormat="1" ht="12" customHeight="1">
      <c r="B13" s="19"/>
      <c r="C13" s="138">
        <f t="shared" si="0"/>
        <v>7</v>
      </c>
      <c r="D13" s="139"/>
      <c r="E13" s="140">
        <v>46177</v>
      </c>
      <c r="F13" s="141"/>
      <c r="G13" s="141"/>
      <c r="H13" s="141"/>
      <c r="I13" s="141"/>
      <c r="J13" s="142"/>
      <c r="K13" s="138" t="s">
        <v>41</v>
      </c>
      <c r="L13" s="143"/>
      <c r="M13" s="143"/>
      <c r="N13" s="143"/>
      <c r="O13" s="143"/>
      <c r="P13" s="143"/>
      <c r="Q13" s="139"/>
      <c r="R13" s="144">
        <v>1.6</v>
      </c>
      <c r="S13" s="145"/>
      <c r="T13" s="145"/>
      <c r="U13" s="145"/>
      <c r="V13" s="146"/>
      <c r="W13" s="20" t="s">
        <v>119</v>
      </c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1"/>
      <c r="BB13" s="22"/>
      <c r="BC13" s="23"/>
    </row>
    <row r="14" spans="1:56" s="18" customFormat="1" ht="12" customHeight="1">
      <c r="B14" s="19"/>
      <c r="C14" s="138">
        <f t="shared" si="0"/>
        <v>8</v>
      </c>
      <c r="D14" s="139"/>
      <c r="E14" s="140"/>
      <c r="F14" s="141"/>
      <c r="G14" s="141"/>
      <c r="H14" s="141"/>
      <c r="I14" s="141"/>
      <c r="J14" s="142"/>
      <c r="K14" s="138"/>
      <c r="L14" s="143"/>
      <c r="M14" s="143"/>
      <c r="N14" s="143"/>
      <c r="O14" s="143"/>
      <c r="P14" s="143"/>
      <c r="Q14" s="139"/>
      <c r="R14" s="144"/>
      <c r="S14" s="145"/>
      <c r="T14" s="145"/>
      <c r="U14" s="145"/>
      <c r="V14" s="146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1"/>
      <c r="BB14" s="26"/>
      <c r="BC14" s="23"/>
    </row>
    <row r="15" spans="1:56" s="18" customFormat="1" ht="12" customHeight="1">
      <c r="B15" s="19"/>
      <c r="C15" s="138">
        <f t="shared" si="0"/>
        <v>9</v>
      </c>
      <c r="D15" s="139"/>
      <c r="E15" s="140"/>
      <c r="F15" s="141"/>
      <c r="G15" s="141"/>
      <c r="H15" s="141"/>
      <c r="I15" s="141"/>
      <c r="J15" s="142"/>
      <c r="K15" s="138"/>
      <c r="L15" s="143"/>
      <c r="M15" s="143"/>
      <c r="N15" s="143"/>
      <c r="O15" s="143"/>
      <c r="P15" s="143"/>
      <c r="Q15" s="139"/>
      <c r="R15" s="144"/>
      <c r="S15" s="145"/>
      <c r="T15" s="145"/>
      <c r="U15" s="145"/>
      <c r="V15" s="146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1"/>
      <c r="BB15" s="26"/>
      <c r="BC15" s="23"/>
    </row>
    <row r="16" spans="1:56" s="18" customFormat="1" ht="12" customHeight="1">
      <c r="B16" s="19"/>
      <c r="C16" s="138">
        <f t="shared" si="0"/>
        <v>10</v>
      </c>
      <c r="D16" s="139"/>
      <c r="E16" s="140"/>
      <c r="F16" s="141"/>
      <c r="G16" s="141"/>
      <c r="H16" s="141"/>
      <c r="I16" s="141"/>
      <c r="J16" s="142"/>
      <c r="K16" s="138"/>
      <c r="L16" s="143"/>
      <c r="M16" s="143"/>
      <c r="N16" s="143"/>
      <c r="O16" s="143"/>
      <c r="P16" s="143"/>
      <c r="Q16" s="139"/>
      <c r="R16" s="144"/>
      <c r="S16" s="145"/>
      <c r="T16" s="145"/>
      <c r="U16" s="145"/>
      <c r="V16" s="146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1"/>
      <c r="BB16" s="22"/>
      <c r="BC16" s="23"/>
    </row>
    <row r="17" spans="2:55" s="18" customFormat="1" ht="12" customHeight="1">
      <c r="B17" s="19"/>
      <c r="C17" s="138">
        <f t="shared" si="0"/>
        <v>11</v>
      </c>
      <c r="D17" s="139"/>
      <c r="E17" s="147"/>
      <c r="F17" s="148"/>
      <c r="G17" s="148"/>
      <c r="H17" s="148"/>
      <c r="I17" s="148"/>
      <c r="J17" s="149"/>
      <c r="K17" s="150"/>
      <c r="L17" s="151"/>
      <c r="M17" s="151"/>
      <c r="N17" s="151"/>
      <c r="O17" s="151"/>
      <c r="P17" s="151"/>
      <c r="Q17" s="152"/>
      <c r="R17" s="153"/>
      <c r="S17" s="154"/>
      <c r="T17" s="154"/>
      <c r="U17" s="154"/>
      <c r="V17" s="155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5"/>
      <c r="BB17" s="22"/>
      <c r="BC17" s="23"/>
    </row>
    <row r="18" spans="2:55" s="18" customFormat="1" ht="12" customHeight="1">
      <c r="B18" s="19"/>
      <c r="C18" s="138">
        <f t="shared" si="0"/>
        <v>12</v>
      </c>
      <c r="D18" s="139"/>
      <c r="E18" s="140"/>
      <c r="F18" s="141"/>
      <c r="G18" s="141"/>
      <c r="H18" s="141"/>
      <c r="I18" s="141"/>
      <c r="J18" s="142"/>
      <c r="K18" s="138"/>
      <c r="L18" s="143"/>
      <c r="M18" s="143"/>
      <c r="N18" s="143"/>
      <c r="O18" s="143"/>
      <c r="P18" s="143"/>
      <c r="Q18" s="139"/>
      <c r="R18" s="144"/>
      <c r="S18" s="145"/>
      <c r="T18" s="145"/>
      <c r="U18" s="145"/>
      <c r="V18" s="146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1"/>
      <c r="BB18" s="22"/>
      <c r="BC18" s="23"/>
    </row>
    <row r="19" spans="2:55" s="18" customFormat="1" ht="12" customHeight="1">
      <c r="B19" s="19"/>
      <c r="C19" s="138">
        <f t="shared" si="0"/>
        <v>13</v>
      </c>
      <c r="D19" s="139"/>
      <c r="E19" s="147"/>
      <c r="F19" s="148"/>
      <c r="G19" s="148"/>
      <c r="H19" s="148"/>
      <c r="I19" s="148"/>
      <c r="J19" s="149"/>
      <c r="K19" s="150"/>
      <c r="L19" s="151"/>
      <c r="M19" s="151"/>
      <c r="N19" s="151"/>
      <c r="O19" s="151"/>
      <c r="P19" s="151"/>
      <c r="Q19" s="152"/>
      <c r="R19" s="153"/>
      <c r="S19" s="154"/>
      <c r="T19" s="154"/>
      <c r="U19" s="154"/>
      <c r="V19" s="155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5"/>
      <c r="BB19" s="22"/>
      <c r="BC19" s="23"/>
    </row>
    <row r="20" spans="2:55" s="18" customFormat="1" ht="12" customHeight="1">
      <c r="B20" s="19"/>
      <c r="C20" s="138">
        <f t="shared" si="0"/>
        <v>14</v>
      </c>
      <c r="D20" s="139"/>
      <c r="E20" s="140"/>
      <c r="F20" s="141"/>
      <c r="G20" s="141"/>
      <c r="H20" s="141"/>
      <c r="I20" s="141"/>
      <c r="J20" s="142"/>
      <c r="K20" s="138"/>
      <c r="L20" s="143"/>
      <c r="M20" s="143"/>
      <c r="N20" s="143"/>
      <c r="O20" s="143"/>
      <c r="P20" s="143"/>
      <c r="Q20" s="139"/>
      <c r="R20" s="144"/>
      <c r="S20" s="145"/>
      <c r="T20" s="145"/>
      <c r="U20" s="145"/>
      <c r="V20" s="146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1"/>
      <c r="BB20" s="22"/>
      <c r="BC20" s="23"/>
    </row>
    <row r="21" spans="2:55" s="18" customFormat="1" ht="12" customHeight="1">
      <c r="B21" s="19"/>
      <c r="C21" s="138">
        <f t="shared" si="0"/>
        <v>15</v>
      </c>
      <c r="D21" s="139"/>
      <c r="E21" s="140"/>
      <c r="F21" s="141"/>
      <c r="G21" s="141"/>
      <c r="H21" s="141"/>
      <c r="I21" s="141"/>
      <c r="J21" s="142"/>
      <c r="K21" s="138"/>
      <c r="L21" s="143"/>
      <c r="M21" s="143"/>
      <c r="N21" s="143"/>
      <c r="O21" s="143"/>
      <c r="P21" s="143"/>
      <c r="Q21" s="139"/>
      <c r="R21" s="144"/>
      <c r="S21" s="145"/>
      <c r="T21" s="145"/>
      <c r="U21" s="145"/>
      <c r="V21" s="146"/>
      <c r="W21" s="27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1"/>
      <c r="BB21" s="22"/>
      <c r="BC21" s="23"/>
    </row>
    <row r="22" spans="2:55" s="18" customFormat="1" ht="12" customHeight="1">
      <c r="B22" s="19"/>
      <c r="C22" s="138">
        <f t="shared" si="0"/>
        <v>16</v>
      </c>
      <c r="D22" s="139"/>
      <c r="E22" s="140"/>
      <c r="F22" s="141"/>
      <c r="G22" s="141"/>
      <c r="H22" s="141"/>
      <c r="I22" s="141"/>
      <c r="J22" s="142"/>
      <c r="K22" s="138"/>
      <c r="L22" s="143"/>
      <c r="M22" s="143"/>
      <c r="N22" s="143"/>
      <c r="O22" s="143"/>
      <c r="P22" s="143"/>
      <c r="Q22" s="139"/>
      <c r="R22" s="144"/>
      <c r="S22" s="145"/>
      <c r="T22" s="145"/>
      <c r="U22" s="145"/>
      <c r="V22" s="146"/>
      <c r="W22" s="27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1"/>
      <c r="BB22" s="22"/>
      <c r="BC22" s="23"/>
    </row>
    <row r="23" spans="2:55" s="18" customFormat="1" ht="12" customHeight="1">
      <c r="B23" s="19"/>
      <c r="C23" s="138">
        <f t="shared" si="0"/>
        <v>17</v>
      </c>
      <c r="D23" s="139"/>
      <c r="E23" s="140"/>
      <c r="F23" s="141"/>
      <c r="G23" s="141"/>
      <c r="H23" s="141"/>
      <c r="I23" s="141"/>
      <c r="J23" s="142"/>
      <c r="K23" s="138"/>
      <c r="L23" s="143"/>
      <c r="M23" s="143"/>
      <c r="N23" s="143"/>
      <c r="O23" s="143"/>
      <c r="P23" s="143"/>
      <c r="Q23" s="139"/>
      <c r="R23" s="144"/>
      <c r="S23" s="145"/>
      <c r="T23" s="145"/>
      <c r="U23" s="145"/>
      <c r="V23" s="146"/>
      <c r="W23" s="27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1"/>
      <c r="BB23" s="22"/>
      <c r="BC23" s="23"/>
    </row>
    <row r="24" spans="2:55" s="18" customFormat="1" ht="12" customHeight="1">
      <c r="B24" s="19"/>
      <c r="C24" s="138">
        <f t="shared" si="0"/>
        <v>18</v>
      </c>
      <c r="D24" s="139"/>
      <c r="E24" s="140"/>
      <c r="F24" s="141"/>
      <c r="G24" s="141"/>
      <c r="H24" s="141"/>
      <c r="I24" s="141"/>
      <c r="J24" s="142"/>
      <c r="K24" s="138"/>
      <c r="L24" s="143"/>
      <c r="M24" s="143"/>
      <c r="N24" s="143"/>
      <c r="O24" s="143"/>
      <c r="P24" s="143"/>
      <c r="Q24" s="139"/>
      <c r="R24" s="144"/>
      <c r="S24" s="145"/>
      <c r="T24" s="145"/>
      <c r="U24" s="145"/>
      <c r="V24" s="146"/>
      <c r="W24" s="27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1"/>
      <c r="BB24" s="22"/>
      <c r="BC24" s="23"/>
    </row>
    <row r="25" spans="2:55" s="18" customFormat="1" ht="12" customHeight="1">
      <c r="B25" s="19"/>
      <c r="C25" s="138">
        <f t="shared" si="0"/>
        <v>19</v>
      </c>
      <c r="D25" s="139"/>
      <c r="E25" s="140"/>
      <c r="F25" s="141"/>
      <c r="G25" s="141"/>
      <c r="H25" s="141"/>
      <c r="I25" s="141"/>
      <c r="J25" s="142"/>
      <c r="K25" s="138"/>
      <c r="L25" s="143"/>
      <c r="M25" s="143"/>
      <c r="N25" s="143"/>
      <c r="O25" s="143"/>
      <c r="P25" s="143"/>
      <c r="Q25" s="139"/>
      <c r="R25" s="144"/>
      <c r="S25" s="145"/>
      <c r="T25" s="145"/>
      <c r="U25" s="145"/>
      <c r="V25" s="146"/>
      <c r="W25" s="27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1"/>
      <c r="BB25" s="22"/>
      <c r="BC25" s="23"/>
    </row>
    <row r="26" spans="2:55" s="18" customFormat="1">
      <c r="B26" s="19"/>
      <c r="C26" s="138">
        <f t="shared" si="0"/>
        <v>20</v>
      </c>
      <c r="D26" s="139"/>
      <c r="E26" s="140"/>
      <c r="F26" s="141"/>
      <c r="G26" s="141"/>
      <c r="H26" s="141"/>
      <c r="I26" s="141"/>
      <c r="J26" s="142"/>
      <c r="K26" s="138"/>
      <c r="L26" s="143"/>
      <c r="M26" s="143"/>
      <c r="N26" s="143"/>
      <c r="O26" s="143"/>
      <c r="P26" s="143"/>
      <c r="Q26" s="139"/>
      <c r="R26" s="144"/>
      <c r="S26" s="145"/>
      <c r="T26" s="145"/>
      <c r="U26" s="145"/>
      <c r="V26" s="146"/>
      <c r="W26" s="27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1"/>
      <c r="BB26" s="22"/>
      <c r="BC26" s="23"/>
    </row>
    <row r="27" spans="2:55" s="18" customFormat="1" ht="12" customHeight="1">
      <c r="B27" s="19"/>
      <c r="C27" s="138">
        <f t="shared" si="0"/>
        <v>21</v>
      </c>
      <c r="D27" s="139"/>
      <c r="E27" s="140"/>
      <c r="F27" s="141"/>
      <c r="G27" s="141"/>
      <c r="H27" s="141"/>
      <c r="I27" s="141"/>
      <c r="J27" s="142"/>
      <c r="K27" s="138"/>
      <c r="L27" s="143"/>
      <c r="M27" s="143"/>
      <c r="N27" s="143"/>
      <c r="O27" s="143"/>
      <c r="P27" s="143"/>
      <c r="Q27" s="139"/>
      <c r="R27" s="144"/>
      <c r="S27" s="145"/>
      <c r="T27" s="145"/>
      <c r="U27" s="145"/>
      <c r="V27" s="146"/>
      <c r="W27" s="27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1"/>
      <c r="BB27" s="22"/>
      <c r="BC27" s="23"/>
    </row>
    <row r="28" spans="2:55" s="18" customFormat="1" ht="12" customHeight="1">
      <c r="B28" s="19"/>
      <c r="C28" s="138">
        <f t="shared" si="0"/>
        <v>22</v>
      </c>
      <c r="D28" s="139"/>
      <c r="E28" s="140"/>
      <c r="F28" s="141"/>
      <c r="G28" s="141"/>
      <c r="H28" s="141"/>
      <c r="I28" s="141"/>
      <c r="J28" s="142"/>
      <c r="K28" s="138"/>
      <c r="L28" s="143"/>
      <c r="M28" s="143"/>
      <c r="N28" s="143"/>
      <c r="O28" s="143"/>
      <c r="P28" s="143"/>
      <c r="Q28" s="139"/>
      <c r="R28" s="144"/>
      <c r="S28" s="145"/>
      <c r="T28" s="145"/>
      <c r="U28" s="145"/>
      <c r="V28" s="146"/>
      <c r="W28" s="27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1"/>
      <c r="BB28" s="22"/>
      <c r="BC28" s="23"/>
    </row>
    <row r="29" spans="2:55" s="18" customFormat="1" ht="12" customHeight="1">
      <c r="B29" s="19"/>
      <c r="C29" s="138">
        <f t="shared" si="0"/>
        <v>23</v>
      </c>
      <c r="D29" s="139"/>
      <c r="E29" s="140"/>
      <c r="F29" s="141"/>
      <c r="G29" s="141"/>
      <c r="H29" s="141"/>
      <c r="I29" s="141"/>
      <c r="J29" s="142"/>
      <c r="K29" s="138"/>
      <c r="L29" s="143"/>
      <c r="M29" s="143"/>
      <c r="N29" s="143"/>
      <c r="O29" s="143"/>
      <c r="P29" s="143"/>
      <c r="Q29" s="139"/>
      <c r="R29" s="144"/>
      <c r="S29" s="145"/>
      <c r="T29" s="145"/>
      <c r="U29" s="145"/>
      <c r="V29" s="146"/>
      <c r="W29" s="27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1"/>
      <c r="BB29" s="26"/>
      <c r="BC29" s="23"/>
    </row>
    <row r="30" spans="2:55" s="18" customFormat="1" ht="12" customHeight="1">
      <c r="B30" s="19"/>
      <c r="C30" s="138">
        <f t="shared" si="0"/>
        <v>24</v>
      </c>
      <c r="D30" s="139"/>
      <c r="E30" s="140"/>
      <c r="F30" s="141"/>
      <c r="G30" s="141"/>
      <c r="H30" s="141"/>
      <c r="I30" s="141"/>
      <c r="J30" s="142"/>
      <c r="K30" s="138"/>
      <c r="L30" s="143"/>
      <c r="M30" s="143"/>
      <c r="N30" s="143"/>
      <c r="O30" s="143"/>
      <c r="P30" s="143"/>
      <c r="Q30" s="139"/>
      <c r="R30" s="144"/>
      <c r="S30" s="145"/>
      <c r="T30" s="145"/>
      <c r="U30" s="145"/>
      <c r="V30" s="146"/>
      <c r="W30" s="27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1"/>
      <c r="BB30" s="26"/>
      <c r="BC30" s="23"/>
    </row>
    <row r="31" spans="2:55" s="18" customFormat="1" ht="12" customHeight="1">
      <c r="B31" s="19"/>
      <c r="C31" s="138">
        <f t="shared" si="0"/>
        <v>25</v>
      </c>
      <c r="D31" s="139"/>
      <c r="E31" s="140"/>
      <c r="F31" s="141"/>
      <c r="G31" s="141"/>
      <c r="H31" s="141"/>
      <c r="I31" s="141"/>
      <c r="J31" s="142"/>
      <c r="K31" s="138"/>
      <c r="L31" s="143"/>
      <c r="M31" s="143"/>
      <c r="N31" s="143"/>
      <c r="O31" s="143"/>
      <c r="P31" s="143"/>
      <c r="Q31" s="139"/>
      <c r="R31" s="144"/>
      <c r="S31" s="145"/>
      <c r="T31" s="145"/>
      <c r="U31" s="145"/>
      <c r="V31" s="146"/>
      <c r="W31" s="27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1"/>
      <c r="BB31" s="26"/>
      <c r="BC31" s="23"/>
    </row>
    <row r="32" spans="2:55" s="18" customFormat="1" ht="12" customHeight="1">
      <c r="B32" s="19"/>
      <c r="C32" s="138">
        <f t="shared" si="0"/>
        <v>26</v>
      </c>
      <c r="D32" s="139"/>
      <c r="E32" s="140"/>
      <c r="F32" s="141"/>
      <c r="G32" s="141"/>
      <c r="H32" s="141"/>
      <c r="I32" s="141"/>
      <c r="J32" s="142"/>
      <c r="K32" s="138"/>
      <c r="L32" s="143"/>
      <c r="M32" s="143"/>
      <c r="N32" s="143"/>
      <c r="O32" s="143"/>
      <c r="P32" s="143"/>
      <c r="Q32" s="139"/>
      <c r="R32" s="144"/>
      <c r="S32" s="145"/>
      <c r="T32" s="145"/>
      <c r="U32" s="145"/>
      <c r="V32" s="146"/>
      <c r="W32" s="27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1"/>
      <c r="BB32" s="22"/>
      <c r="BC32" s="23"/>
    </row>
    <row r="33" spans="1:56" s="18" customFormat="1" ht="12" customHeight="1">
      <c r="B33" s="19"/>
      <c r="C33" s="138">
        <f t="shared" si="0"/>
        <v>27</v>
      </c>
      <c r="D33" s="139"/>
      <c r="E33" s="140"/>
      <c r="F33" s="141"/>
      <c r="G33" s="141"/>
      <c r="H33" s="141"/>
      <c r="I33" s="141"/>
      <c r="J33" s="142"/>
      <c r="K33" s="138"/>
      <c r="L33" s="143"/>
      <c r="M33" s="143"/>
      <c r="N33" s="143"/>
      <c r="O33" s="143"/>
      <c r="P33" s="143"/>
      <c r="Q33" s="139"/>
      <c r="R33" s="144"/>
      <c r="S33" s="145"/>
      <c r="T33" s="145"/>
      <c r="U33" s="145"/>
      <c r="V33" s="146"/>
      <c r="W33" s="27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1"/>
      <c r="BB33" s="22"/>
      <c r="BC33" s="23"/>
    </row>
    <row r="34" spans="1:56" s="18" customFormat="1" ht="12" customHeight="1">
      <c r="B34" s="19"/>
      <c r="C34" s="138">
        <f t="shared" si="0"/>
        <v>28</v>
      </c>
      <c r="D34" s="139"/>
      <c r="E34" s="140"/>
      <c r="F34" s="141"/>
      <c r="G34" s="141"/>
      <c r="H34" s="141"/>
      <c r="I34" s="141"/>
      <c r="J34" s="142"/>
      <c r="K34" s="138"/>
      <c r="L34" s="143"/>
      <c r="M34" s="143"/>
      <c r="N34" s="143"/>
      <c r="O34" s="143"/>
      <c r="P34" s="143"/>
      <c r="Q34" s="139"/>
      <c r="R34" s="144"/>
      <c r="S34" s="145"/>
      <c r="T34" s="145"/>
      <c r="U34" s="145"/>
      <c r="V34" s="146"/>
      <c r="W34" s="27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1"/>
      <c r="BB34" s="22"/>
      <c r="BC34" s="23"/>
    </row>
    <row r="35" spans="1:56" s="18" customFormat="1" ht="12" customHeight="1">
      <c r="B35" s="19"/>
      <c r="C35" s="138">
        <f t="shared" si="0"/>
        <v>29</v>
      </c>
      <c r="D35" s="139"/>
      <c r="E35" s="140"/>
      <c r="F35" s="141"/>
      <c r="G35" s="141"/>
      <c r="H35" s="141"/>
      <c r="I35" s="141"/>
      <c r="J35" s="142"/>
      <c r="K35" s="138"/>
      <c r="L35" s="143"/>
      <c r="M35" s="143"/>
      <c r="N35" s="143"/>
      <c r="O35" s="143"/>
      <c r="P35" s="143"/>
      <c r="Q35" s="139"/>
      <c r="R35" s="144"/>
      <c r="S35" s="145"/>
      <c r="T35" s="145"/>
      <c r="U35" s="145"/>
      <c r="V35" s="146"/>
      <c r="W35" s="27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1"/>
      <c r="BB35" s="22"/>
      <c r="BC35" s="23"/>
    </row>
    <row r="36" spans="1:56" s="18" customFormat="1" ht="12" customHeight="1">
      <c r="B36" s="19"/>
      <c r="C36" s="138">
        <f t="shared" si="0"/>
        <v>30</v>
      </c>
      <c r="D36" s="139"/>
      <c r="E36" s="140"/>
      <c r="F36" s="141"/>
      <c r="G36" s="141"/>
      <c r="H36" s="141"/>
      <c r="I36" s="141"/>
      <c r="J36" s="142"/>
      <c r="K36" s="138"/>
      <c r="L36" s="143"/>
      <c r="M36" s="143"/>
      <c r="N36" s="143"/>
      <c r="O36" s="143"/>
      <c r="P36" s="143"/>
      <c r="Q36" s="139"/>
      <c r="R36" s="144"/>
      <c r="S36" s="145"/>
      <c r="T36" s="145"/>
      <c r="U36" s="145"/>
      <c r="V36" s="146"/>
      <c r="W36" s="27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1"/>
      <c r="BB36" s="22"/>
      <c r="BC36" s="23"/>
    </row>
    <row r="37" spans="1:56" s="18" customFormat="1" ht="5.45" customHeight="1">
      <c r="B37" s="28"/>
      <c r="C37" s="29"/>
      <c r="D37" s="30"/>
      <c r="E37" s="30"/>
      <c r="F37" s="30"/>
      <c r="G37" s="29"/>
      <c r="H37" s="30"/>
      <c r="I37" s="30"/>
      <c r="J37" s="29"/>
      <c r="K37" s="29"/>
      <c r="L37" s="29"/>
      <c r="M37" s="30"/>
      <c r="N37" s="30"/>
      <c r="O37" s="30"/>
      <c r="P37" s="30"/>
      <c r="Q37" s="30"/>
      <c r="R37" s="30"/>
      <c r="S37" s="30"/>
      <c r="T37" s="31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29"/>
      <c r="AN37" s="29"/>
      <c r="AO37" s="29"/>
      <c r="AP37" s="29"/>
      <c r="AQ37" s="29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2"/>
      <c r="BC37" s="23"/>
    </row>
    <row r="38" spans="1:56" s="10" customFormat="1" ht="6.6" customHeight="1">
      <c r="A38" s="33"/>
      <c r="B38" s="34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</row>
  </sheetData>
  <mergeCells count="153">
    <mergeCell ref="W9:BA9"/>
    <mergeCell ref="W10:BA10"/>
    <mergeCell ref="B2:K3"/>
    <mergeCell ref="L2:Q2"/>
    <mergeCell ref="R2:W2"/>
    <mergeCell ref="X2:AC2"/>
    <mergeCell ref="AD2:AK3"/>
    <mergeCell ref="AL2:AO2"/>
    <mergeCell ref="AP2:AS2"/>
    <mergeCell ref="AT2:AX2"/>
    <mergeCell ref="AY2:BB2"/>
    <mergeCell ref="M3:Q3"/>
    <mergeCell ref="S3:W3"/>
    <mergeCell ref="Y3:AC3"/>
    <mergeCell ref="AL3:AO3"/>
    <mergeCell ref="AP3:AS3"/>
    <mergeCell ref="AT3:AX3"/>
    <mergeCell ref="AY3:BB3"/>
    <mergeCell ref="C7:D7"/>
    <mergeCell ref="E7:J7"/>
    <mergeCell ref="K7:Q7"/>
    <mergeCell ref="R7:V7"/>
    <mergeCell ref="C8:D8"/>
    <mergeCell ref="E8:J8"/>
    <mergeCell ref="K8:Q8"/>
    <mergeCell ref="R8:V8"/>
    <mergeCell ref="AL4:AU4"/>
    <mergeCell ref="W8:BA8"/>
    <mergeCell ref="AV4:AX4"/>
    <mergeCell ref="AY4:BA4"/>
    <mergeCell ref="C6:D6"/>
    <mergeCell ref="E6:J6"/>
    <mergeCell ref="K6:Q6"/>
    <mergeCell ref="R6:V6"/>
    <mergeCell ref="W6:BA6"/>
    <mergeCell ref="C4:E4"/>
    <mergeCell ref="F4:G4"/>
    <mergeCell ref="H4:S4"/>
    <mergeCell ref="T4:U4"/>
    <mergeCell ref="V4:AE4"/>
    <mergeCell ref="AI4:AJ4"/>
    <mergeCell ref="C11:D11"/>
    <mergeCell ref="E11:J11"/>
    <mergeCell ref="K11:Q11"/>
    <mergeCell ref="R11:V11"/>
    <mergeCell ref="C12:D12"/>
    <mergeCell ref="E12:J12"/>
    <mergeCell ref="K12:Q12"/>
    <mergeCell ref="R12:V12"/>
    <mergeCell ref="C9:D9"/>
    <mergeCell ref="E9:J9"/>
    <mergeCell ref="K9:Q9"/>
    <mergeCell ref="R9:V9"/>
    <mergeCell ref="C10:D10"/>
    <mergeCell ref="E10:J10"/>
    <mergeCell ref="K10:Q10"/>
    <mergeCell ref="R10:V10"/>
    <mergeCell ref="C15:D15"/>
    <mergeCell ref="E15:J15"/>
    <mergeCell ref="K15:Q15"/>
    <mergeCell ref="R15:V15"/>
    <mergeCell ref="C16:D16"/>
    <mergeCell ref="E16:J16"/>
    <mergeCell ref="K16:Q16"/>
    <mergeCell ref="R16:V16"/>
    <mergeCell ref="C13:D13"/>
    <mergeCell ref="E13:J13"/>
    <mergeCell ref="K13:Q13"/>
    <mergeCell ref="R13:V13"/>
    <mergeCell ref="C14:D14"/>
    <mergeCell ref="E14:J14"/>
    <mergeCell ref="K14:Q14"/>
    <mergeCell ref="R14:V14"/>
    <mergeCell ref="C19:D19"/>
    <mergeCell ref="E19:J19"/>
    <mergeCell ref="K19:Q19"/>
    <mergeCell ref="R19:V19"/>
    <mergeCell ref="C20:D20"/>
    <mergeCell ref="E20:J20"/>
    <mergeCell ref="K20:Q20"/>
    <mergeCell ref="R20:V20"/>
    <mergeCell ref="C17:D17"/>
    <mergeCell ref="E17:J17"/>
    <mergeCell ref="K17:Q17"/>
    <mergeCell ref="R17:V17"/>
    <mergeCell ref="C18:D18"/>
    <mergeCell ref="E18:J18"/>
    <mergeCell ref="K18:Q18"/>
    <mergeCell ref="R18:V18"/>
    <mergeCell ref="C23:D23"/>
    <mergeCell ref="E23:J23"/>
    <mergeCell ref="K23:Q23"/>
    <mergeCell ref="R23:V23"/>
    <mergeCell ref="C24:D24"/>
    <mergeCell ref="E24:J24"/>
    <mergeCell ref="K24:Q24"/>
    <mergeCell ref="R24:V24"/>
    <mergeCell ref="C21:D21"/>
    <mergeCell ref="E21:J21"/>
    <mergeCell ref="K21:Q21"/>
    <mergeCell ref="R21:V21"/>
    <mergeCell ref="C22:D22"/>
    <mergeCell ref="E22:J22"/>
    <mergeCell ref="K22:Q22"/>
    <mergeCell ref="R22:V22"/>
    <mergeCell ref="C27:D27"/>
    <mergeCell ref="E27:J27"/>
    <mergeCell ref="K27:Q27"/>
    <mergeCell ref="R27:V27"/>
    <mergeCell ref="C28:D28"/>
    <mergeCell ref="E28:J28"/>
    <mergeCell ref="K28:Q28"/>
    <mergeCell ref="R28:V28"/>
    <mergeCell ref="C25:D25"/>
    <mergeCell ref="E25:J25"/>
    <mergeCell ref="K25:Q25"/>
    <mergeCell ref="R25:V25"/>
    <mergeCell ref="C26:D26"/>
    <mergeCell ref="E26:J26"/>
    <mergeCell ref="K26:Q26"/>
    <mergeCell ref="R26:V26"/>
    <mergeCell ref="C31:D31"/>
    <mergeCell ref="E31:J31"/>
    <mergeCell ref="K31:Q31"/>
    <mergeCell ref="R31:V31"/>
    <mergeCell ref="C32:D32"/>
    <mergeCell ref="E32:J32"/>
    <mergeCell ref="K32:Q32"/>
    <mergeCell ref="R32:V32"/>
    <mergeCell ref="C29:D29"/>
    <mergeCell ref="E29:J29"/>
    <mergeCell ref="K29:Q29"/>
    <mergeCell ref="R29:V29"/>
    <mergeCell ref="C30:D30"/>
    <mergeCell ref="E30:J30"/>
    <mergeCell ref="K30:Q30"/>
    <mergeCell ref="R30:V30"/>
    <mergeCell ref="C35:D35"/>
    <mergeCell ref="E35:J35"/>
    <mergeCell ref="K35:Q35"/>
    <mergeCell ref="R35:V35"/>
    <mergeCell ref="C36:D36"/>
    <mergeCell ref="E36:J36"/>
    <mergeCell ref="K36:Q36"/>
    <mergeCell ref="R36:V36"/>
    <mergeCell ref="C33:D33"/>
    <mergeCell ref="E33:J33"/>
    <mergeCell ref="K33:Q33"/>
    <mergeCell ref="R33:V33"/>
    <mergeCell ref="C34:D34"/>
    <mergeCell ref="E34:J34"/>
    <mergeCell ref="K34:Q34"/>
    <mergeCell ref="R34:V34"/>
  </mergeCells>
  <phoneticPr fontId="3"/>
  <pageMargins left="0.35433070866141736" right="0.39370078740157483" top="0.78740157480314965" bottom="0.59055118110236227" header="0.19685039370078741" footer="0.39370078740157483"/>
  <pageSetup paperSize="9" orientation="landscape" r:id="rId1"/>
  <headerFooter alignWithMargins="0">
    <oddHeader>&amp;R&amp;G</oddHeader>
    <oddFooter>&amp;C&amp;8&amp;P&amp;R&amp;9©2021 SUS Co., Ltd. All right reserved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8D666-192C-43E0-9A2C-A2B24C8786FC}">
  <dimension ref="A1:G33"/>
  <sheetViews>
    <sheetView workbookViewId="0">
      <selection activeCell="E13" sqref="E13"/>
    </sheetView>
  </sheetViews>
  <sheetFormatPr defaultRowHeight="18.75"/>
  <cols>
    <col min="1" max="1" width="10.75" style="216" customWidth="1"/>
    <col min="2" max="2" width="2.5" style="216" bestFit="1" customWidth="1"/>
    <col min="3" max="3" width="10.375" style="216" bestFit="1" customWidth="1"/>
    <col min="4" max="4" width="2.5" style="216" bestFit="1" customWidth="1"/>
    <col min="5" max="5" width="25.375" style="216" bestFit="1" customWidth="1"/>
    <col min="6" max="6" width="3.375" style="216" bestFit="1" customWidth="1"/>
    <col min="7" max="7" width="29" style="216" bestFit="1" customWidth="1"/>
  </cols>
  <sheetData>
    <row r="1" spans="1:7">
      <c r="A1" s="216" t="s">
        <v>75</v>
      </c>
      <c r="E1" s="216" t="s">
        <v>84</v>
      </c>
    </row>
    <row r="3" spans="1:7">
      <c r="A3" s="217" t="s">
        <v>76</v>
      </c>
      <c r="B3" s="217" t="s">
        <v>77</v>
      </c>
      <c r="C3" s="217" t="s">
        <v>78</v>
      </c>
      <c r="D3" s="217" t="s">
        <v>77</v>
      </c>
      <c r="E3" s="217" t="s">
        <v>79</v>
      </c>
      <c r="F3" s="217"/>
      <c r="G3" s="217"/>
    </row>
    <row r="4" spans="1:7">
      <c r="A4" s="217"/>
      <c r="B4" s="217" t="s">
        <v>85</v>
      </c>
      <c r="C4" s="217"/>
      <c r="D4" s="217" t="s">
        <v>77</v>
      </c>
      <c r="E4" s="217" t="s">
        <v>82</v>
      </c>
      <c r="F4" s="217"/>
      <c r="G4" s="217"/>
    </row>
    <row r="5" spans="1:7">
      <c r="A5" s="217"/>
      <c r="B5" s="217" t="s">
        <v>85</v>
      </c>
      <c r="C5" s="217"/>
      <c r="D5" s="217" t="s">
        <v>77</v>
      </c>
      <c r="E5" s="217" t="s">
        <v>83</v>
      </c>
      <c r="F5" s="217"/>
      <c r="G5" s="217"/>
    </row>
    <row r="6" spans="1:7">
      <c r="A6" s="217"/>
      <c r="B6" s="217" t="s">
        <v>85</v>
      </c>
      <c r="C6" s="217"/>
      <c r="D6" s="217"/>
      <c r="E6" s="217"/>
      <c r="F6" s="217"/>
      <c r="G6" s="217"/>
    </row>
    <row r="7" spans="1:7">
      <c r="A7" s="217"/>
      <c r="B7" s="217" t="s">
        <v>77</v>
      </c>
      <c r="C7" s="217" t="s">
        <v>88</v>
      </c>
      <c r="D7" s="217" t="s">
        <v>77</v>
      </c>
      <c r="E7" s="217" t="s">
        <v>90</v>
      </c>
      <c r="F7" s="217" t="s">
        <v>77</v>
      </c>
      <c r="G7" s="217" t="s">
        <v>91</v>
      </c>
    </row>
    <row r="8" spans="1:7">
      <c r="A8" s="217"/>
      <c r="B8" s="217" t="s">
        <v>85</v>
      </c>
      <c r="C8" s="217"/>
      <c r="D8" s="217" t="s">
        <v>85</v>
      </c>
      <c r="E8" s="217"/>
      <c r="F8" s="217" t="s">
        <v>77</v>
      </c>
      <c r="G8" s="217" t="s">
        <v>92</v>
      </c>
    </row>
    <row r="9" spans="1:7">
      <c r="A9" s="217"/>
      <c r="B9" s="217" t="s">
        <v>85</v>
      </c>
      <c r="C9" s="217"/>
      <c r="D9" s="217" t="s">
        <v>85</v>
      </c>
      <c r="E9" s="217"/>
      <c r="F9" s="217"/>
      <c r="G9" s="217"/>
    </row>
    <row r="10" spans="1:7">
      <c r="A10" s="217"/>
      <c r="B10" s="217" t="s">
        <v>85</v>
      </c>
      <c r="C10" s="217"/>
      <c r="D10" s="217" t="s">
        <v>77</v>
      </c>
      <c r="E10" s="217" t="s">
        <v>89</v>
      </c>
      <c r="F10" s="217"/>
      <c r="G10" s="217"/>
    </row>
    <row r="11" spans="1:7">
      <c r="A11" s="217"/>
      <c r="B11" s="217" t="s">
        <v>85</v>
      </c>
      <c r="C11" s="217"/>
      <c r="D11" s="217" t="s">
        <v>77</v>
      </c>
      <c r="E11" s="217" t="s">
        <v>93</v>
      </c>
      <c r="F11" s="217"/>
      <c r="G11" s="217"/>
    </row>
    <row r="12" spans="1:7">
      <c r="A12" s="217"/>
      <c r="B12" s="217" t="s">
        <v>85</v>
      </c>
      <c r="C12" s="217"/>
      <c r="D12" s="217" t="s">
        <v>77</v>
      </c>
      <c r="E12" s="217" t="s">
        <v>94</v>
      </c>
      <c r="F12" s="217"/>
      <c r="G12" s="217"/>
    </row>
    <row r="13" spans="1:7">
      <c r="A13" s="217"/>
      <c r="B13" s="217" t="s">
        <v>85</v>
      </c>
      <c r="C13" s="217"/>
      <c r="D13" s="217"/>
      <c r="E13" s="217"/>
      <c r="F13" s="217"/>
      <c r="G13" s="217"/>
    </row>
    <row r="14" spans="1:7">
      <c r="A14" s="217"/>
      <c r="B14" s="217" t="s">
        <v>77</v>
      </c>
      <c r="C14" s="217" t="s">
        <v>95</v>
      </c>
      <c r="D14" s="217" t="s">
        <v>77</v>
      </c>
      <c r="E14" s="217" t="s">
        <v>96</v>
      </c>
      <c r="F14" s="217"/>
      <c r="G14" s="217"/>
    </row>
    <row r="15" spans="1:7">
      <c r="A15" s="217"/>
      <c r="B15" s="217" t="s">
        <v>85</v>
      </c>
      <c r="C15" s="217"/>
      <c r="D15" s="217"/>
      <c r="E15" s="217"/>
      <c r="F15" s="217"/>
      <c r="G15" s="217"/>
    </row>
    <row r="16" spans="1:7">
      <c r="A16" s="217"/>
      <c r="B16" s="217" t="s">
        <v>77</v>
      </c>
      <c r="C16" s="217" t="s">
        <v>97</v>
      </c>
      <c r="D16" s="217" t="s">
        <v>77</v>
      </c>
      <c r="E16" s="217" t="s">
        <v>98</v>
      </c>
      <c r="F16" s="217"/>
      <c r="G16" s="217"/>
    </row>
    <row r="17" spans="1:7">
      <c r="A17" s="217"/>
      <c r="B17" s="217" t="s">
        <v>85</v>
      </c>
      <c r="C17" s="217"/>
      <c r="D17" s="217" t="s">
        <v>77</v>
      </c>
      <c r="E17" s="217" t="s">
        <v>99</v>
      </c>
      <c r="F17" s="217"/>
      <c r="G17" s="217"/>
    </row>
    <row r="18" spans="1:7">
      <c r="A18" s="217"/>
      <c r="B18" s="217" t="s">
        <v>85</v>
      </c>
      <c r="C18" s="217"/>
      <c r="D18" s="217" t="s">
        <v>77</v>
      </c>
      <c r="E18" s="217" t="s">
        <v>100</v>
      </c>
      <c r="F18" s="217"/>
      <c r="G18" s="217"/>
    </row>
    <row r="19" spans="1:7" ht="19.5" thickBot="1">
      <c r="A19" s="217"/>
      <c r="B19" s="217" t="s">
        <v>85</v>
      </c>
      <c r="C19" s="217"/>
      <c r="D19" s="217"/>
      <c r="E19" s="217"/>
      <c r="F19" s="217"/>
      <c r="G19" s="261" t="s">
        <v>149</v>
      </c>
    </row>
    <row r="20" spans="1:7">
      <c r="A20" s="217"/>
      <c r="B20" s="217" t="s">
        <v>77</v>
      </c>
      <c r="C20" s="241" t="s">
        <v>101</v>
      </c>
      <c r="D20" s="242" t="s">
        <v>77</v>
      </c>
      <c r="E20" s="242" t="s">
        <v>80</v>
      </c>
      <c r="F20" s="242" t="s">
        <v>77</v>
      </c>
      <c r="G20" s="243" t="s">
        <v>87</v>
      </c>
    </row>
    <row r="21" spans="1:7">
      <c r="A21" s="217"/>
      <c r="B21" s="217"/>
      <c r="C21" s="244"/>
      <c r="D21" s="217" t="s">
        <v>85</v>
      </c>
      <c r="E21" s="217"/>
      <c r="F21" s="217" t="s">
        <v>77</v>
      </c>
      <c r="G21" s="245" t="s">
        <v>86</v>
      </c>
    </row>
    <row r="22" spans="1:7">
      <c r="A22" s="217"/>
      <c r="B22" s="217"/>
      <c r="C22" s="244"/>
      <c r="D22" s="217" t="s">
        <v>85</v>
      </c>
      <c r="E22" s="217"/>
      <c r="F22" s="217" t="s">
        <v>77</v>
      </c>
      <c r="G22" s="245" t="s">
        <v>102</v>
      </c>
    </row>
    <row r="23" spans="1:7">
      <c r="A23" s="217"/>
      <c r="B23" s="217"/>
      <c r="C23" s="244"/>
      <c r="D23" s="217" t="s">
        <v>85</v>
      </c>
      <c r="E23" s="217"/>
      <c r="F23" s="217"/>
      <c r="G23" s="245"/>
    </row>
    <row r="24" spans="1:7">
      <c r="A24" s="217"/>
      <c r="B24" s="217"/>
      <c r="C24" s="244"/>
      <c r="D24" s="217" t="s">
        <v>77</v>
      </c>
      <c r="E24" s="217" t="s">
        <v>103</v>
      </c>
      <c r="F24" s="217" t="s">
        <v>77</v>
      </c>
      <c r="G24" s="245" t="s">
        <v>87</v>
      </c>
    </row>
    <row r="25" spans="1:7">
      <c r="A25" s="217"/>
      <c r="B25" s="217"/>
      <c r="C25" s="244"/>
      <c r="D25" s="217" t="s">
        <v>85</v>
      </c>
      <c r="E25" s="217"/>
      <c r="F25" s="217" t="s">
        <v>77</v>
      </c>
      <c r="G25" s="245" t="s">
        <v>104</v>
      </c>
    </row>
    <row r="26" spans="1:7">
      <c r="A26" s="217"/>
      <c r="B26" s="217"/>
      <c r="C26" s="244"/>
      <c r="D26" s="217" t="s">
        <v>85</v>
      </c>
      <c r="E26" s="217"/>
      <c r="F26" s="217"/>
      <c r="G26" s="245"/>
    </row>
    <row r="27" spans="1:7">
      <c r="A27" s="217"/>
      <c r="B27" s="217"/>
      <c r="C27" s="244"/>
      <c r="D27" s="217" t="s">
        <v>77</v>
      </c>
      <c r="E27" s="217" t="s">
        <v>105</v>
      </c>
      <c r="F27" s="217" t="s">
        <v>77</v>
      </c>
      <c r="G27" s="245" t="s">
        <v>106</v>
      </c>
    </row>
    <row r="28" spans="1:7">
      <c r="A28" s="217"/>
      <c r="B28" s="217"/>
      <c r="C28" s="244"/>
      <c r="D28" s="217" t="s">
        <v>85</v>
      </c>
      <c r="E28" s="217"/>
      <c r="F28" s="217" t="s">
        <v>77</v>
      </c>
      <c r="G28" s="245" t="s">
        <v>107</v>
      </c>
    </row>
    <row r="29" spans="1:7">
      <c r="A29" s="217"/>
      <c r="B29" s="217"/>
      <c r="C29" s="244"/>
      <c r="D29" s="217" t="s">
        <v>85</v>
      </c>
      <c r="E29" s="217"/>
      <c r="F29" s="217" t="s">
        <v>77</v>
      </c>
      <c r="G29" s="245" t="s">
        <v>108</v>
      </c>
    </row>
    <row r="30" spans="1:7">
      <c r="A30" s="217"/>
      <c r="B30" s="217"/>
      <c r="C30" s="244"/>
      <c r="D30" s="217" t="s">
        <v>85</v>
      </c>
      <c r="E30" s="217"/>
      <c r="F30" s="217" t="s">
        <v>77</v>
      </c>
      <c r="G30" s="245" t="s">
        <v>109</v>
      </c>
    </row>
    <row r="31" spans="1:7">
      <c r="A31" s="217"/>
      <c r="B31" s="217"/>
      <c r="C31" s="244"/>
      <c r="D31" s="217" t="s">
        <v>85</v>
      </c>
      <c r="E31" s="217"/>
      <c r="F31" s="217"/>
      <c r="G31" s="245"/>
    </row>
    <row r="32" spans="1:7">
      <c r="A32" s="217"/>
      <c r="B32" s="217"/>
      <c r="C32" s="244"/>
      <c r="D32" s="217" t="s">
        <v>77</v>
      </c>
      <c r="E32" s="217" t="s">
        <v>110</v>
      </c>
      <c r="F32" s="217"/>
      <c r="G32" s="245"/>
    </row>
    <row r="33" spans="1:7" ht="19.5" thickBot="1">
      <c r="A33" s="217"/>
      <c r="B33" s="217"/>
      <c r="C33" s="246"/>
      <c r="D33" s="247" t="s">
        <v>77</v>
      </c>
      <c r="E33" s="247" t="s">
        <v>111</v>
      </c>
      <c r="F33" s="247"/>
      <c r="G33" s="248"/>
    </row>
  </sheetData>
  <phoneticPr fontId="3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CC204-550B-4E55-B898-D230D7EB67C7}">
  <sheetPr>
    <pageSetUpPr fitToPage="1"/>
  </sheetPr>
  <dimension ref="A1:BC58"/>
  <sheetViews>
    <sheetView showGridLines="0" topLeftCell="X1" zoomScale="152" zoomScaleNormal="85" zoomScaleSheetLayoutView="85" workbookViewId="0">
      <pane ySplit="5" topLeftCell="A44" activePane="bottomLeft" state="frozen"/>
      <selection activeCell="B6" sqref="B6"/>
      <selection pane="bottomLeft" activeCell="AO59" sqref="AO59"/>
    </sheetView>
  </sheetViews>
  <sheetFormatPr defaultColWidth="3.75" defaultRowHeight="15.75"/>
  <cols>
    <col min="1" max="1" width="0.875" style="44" customWidth="1"/>
    <col min="2" max="54" width="3.75" style="44"/>
    <col min="55" max="55" width="0.875" style="44" customWidth="1"/>
    <col min="56" max="16384" width="3.75" style="44"/>
  </cols>
  <sheetData>
    <row r="1" spans="1:55" s="38" customFormat="1" ht="6.75" customHeight="1" thickBot="1">
      <c r="A1" s="35"/>
      <c r="B1" s="36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</row>
    <row r="2" spans="1:55" s="38" customFormat="1" ht="20.25" customHeight="1" thickTop="1">
      <c r="A2" s="37"/>
      <c r="B2" s="97" t="str">
        <f>改版履歴!B2</f>
        <v>楽曲検索システム</v>
      </c>
      <c r="C2" s="98"/>
      <c r="D2" s="98"/>
      <c r="E2" s="98"/>
      <c r="F2" s="98"/>
      <c r="G2" s="98"/>
      <c r="H2" s="98"/>
      <c r="I2" s="98"/>
      <c r="J2" s="98"/>
      <c r="K2" s="99"/>
      <c r="L2" s="103" t="str">
        <f>改版履歴!L2</f>
        <v>システム</v>
      </c>
      <c r="M2" s="104"/>
      <c r="N2" s="104"/>
      <c r="O2" s="104"/>
      <c r="P2" s="104"/>
      <c r="Q2" s="104"/>
      <c r="R2" s="104" t="str">
        <f>改版履歴!R2</f>
        <v>サブシステム</v>
      </c>
      <c r="S2" s="104"/>
      <c r="T2" s="104"/>
      <c r="U2" s="104"/>
      <c r="V2" s="104"/>
      <c r="W2" s="104"/>
      <c r="X2" s="104" t="str">
        <f>改版履歴!X2</f>
        <v>プログラム</v>
      </c>
      <c r="Y2" s="104"/>
      <c r="Z2" s="104"/>
      <c r="AA2" s="104"/>
      <c r="AB2" s="104"/>
      <c r="AC2" s="104"/>
      <c r="AD2" s="105" t="str">
        <f ca="1">MID(CELL("filename",$A$1),FIND("]",CELL("filename",$A$1))+1,31)</f>
        <v>①ログイン画面</v>
      </c>
      <c r="AE2" s="106"/>
      <c r="AF2" s="106"/>
      <c r="AG2" s="106"/>
      <c r="AH2" s="106"/>
      <c r="AI2" s="106"/>
      <c r="AJ2" s="106"/>
      <c r="AK2" s="107"/>
      <c r="AL2" s="111" t="s">
        <v>4</v>
      </c>
      <c r="AM2" s="112"/>
      <c r="AN2" s="112"/>
      <c r="AO2" s="113"/>
      <c r="AP2" s="111" t="s">
        <v>5</v>
      </c>
      <c r="AQ2" s="112"/>
      <c r="AR2" s="112"/>
      <c r="AS2" s="113"/>
      <c r="AT2" s="114" t="s">
        <v>6</v>
      </c>
      <c r="AU2" s="115"/>
      <c r="AV2" s="115"/>
      <c r="AW2" s="115"/>
      <c r="AX2" s="116"/>
      <c r="AY2" s="117" t="s">
        <v>7</v>
      </c>
      <c r="AZ2" s="118"/>
      <c r="BA2" s="118"/>
      <c r="BB2" s="119"/>
      <c r="BC2" s="37"/>
    </row>
    <row r="3" spans="1:55" s="38" customFormat="1" ht="20.25" customHeight="1" thickBot="1">
      <c r="A3" s="37"/>
      <c r="B3" s="100"/>
      <c r="C3" s="101"/>
      <c r="D3" s="101"/>
      <c r="E3" s="101"/>
      <c r="F3" s="101"/>
      <c r="G3" s="101"/>
      <c r="H3" s="101"/>
      <c r="I3" s="101"/>
      <c r="J3" s="101"/>
      <c r="K3" s="102"/>
      <c r="L3" s="39" t="s">
        <v>8</v>
      </c>
      <c r="M3" s="120" t="str">
        <f>IF(改版履歴!M3=0,"",改版履歴!M3)</f>
        <v/>
      </c>
      <c r="N3" s="121"/>
      <c r="O3" s="121"/>
      <c r="P3" s="121"/>
      <c r="Q3" s="122"/>
      <c r="R3" s="40" t="s">
        <v>8</v>
      </c>
      <c r="S3" s="120" t="str">
        <f>IF(改版履歴!S3=0,"",改版履歴!S3)</f>
        <v/>
      </c>
      <c r="T3" s="121"/>
      <c r="U3" s="121"/>
      <c r="V3" s="121"/>
      <c r="W3" s="122"/>
      <c r="X3" s="40" t="s">
        <v>8</v>
      </c>
      <c r="Y3" s="120" t="str">
        <f>IF(改版履歴!Y3=0,"",改版履歴!Y3)</f>
        <v/>
      </c>
      <c r="Z3" s="121"/>
      <c r="AA3" s="121"/>
      <c r="AB3" s="121"/>
      <c r="AC3" s="122"/>
      <c r="AD3" s="108"/>
      <c r="AE3" s="109"/>
      <c r="AF3" s="109"/>
      <c r="AG3" s="109"/>
      <c r="AH3" s="109"/>
      <c r="AI3" s="109"/>
      <c r="AJ3" s="109"/>
      <c r="AK3" s="110"/>
      <c r="AL3" s="123">
        <f>改版履歴!AL3</f>
        <v>46139</v>
      </c>
      <c r="AM3" s="124"/>
      <c r="AN3" s="124"/>
      <c r="AO3" s="125"/>
      <c r="AP3" s="123">
        <f>改版履歴!AP3</f>
        <v>46177</v>
      </c>
      <c r="AQ3" s="124"/>
      <c r="AR3" s="124"/>
      <c r="AS3" s="125"/>
      <c r="AT3" s="126" t="str">
        <f>改版履歴!AT3</f>
        <v>野村　翼</v>
      </c>
      <c r="AU3" s="127"/>
      <c r="AV3" s="127"/>
      <c r="AW3" s="127"/>
      <c r="AX3" s="128"/>
      <c r="AY3" s="111" t="str">
        <f>改版履歴!AY3</f>
        <v>第1.6版</v>
      </c>
      <c r="AZ3" s="112"/>
      <c r="BA3" s="112"/>
      <c r="BB3" s="113"/>
      <c r="BC3" s="37"/>
    </row>
    <row r="4" spans="1:55" s="38" customFormat="1" ht="6.75" customHeight="1" thickTop="1" thickBot="1">
      <c r="A4" s="41"/>
      <c r="B4" s="41"/>
      <c r="C4" s="131"/>
      <c r="D4" s="131"/>
      <c r="E4" s="131"/>
      <c r="F4" s="131"/>
      <c r="G4" s="131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42"/>
      <c r="AG4" s="42"/>
      <c r="AH4" s="42"/>
      <c r="AI4" s="133"/>
      <c r="AJ4" s="133"/>
      <c r="AK4" s="42"/>
      <c r="AL4" s="133"/>
      <c r="AM4" s="133"/>
      <c r="AN4" s="133"/>
      <c r="AO4" s="133"/>
      <c r="AP4" s="133"/>
      <c r="AQ4" s="133"/>
      <c r="AR4" s="133"/>
      <c r="AS4" s="133"/>
      <c r="AT4" s="133"/>
      <c r="AU4" s="133"/>
      <c r="AV4" s="133"/>
      <c r="AW4" s="133"/>
      <c r="AX4" s="133"/>
      <c r="AY4" s="133"/>
      <c r="AZ4" s="133"/>
      <c r="BA4" s="133"/>
      <c r="BB4" s="42"/>
      <c r="BC4" s="41"/>
    </row>
    <row r="5" spans="1:55" s="43" customFormat="1" ht="16.5" thickBot="1">
      <c r="B5" s="53" t="s">
        <v>15</v>
      </c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5"/>
      <c r="AF5" s="55"/>
      <c r="AG5" s="55"/>
      <c r="AH5" s="55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6"/>
    </row>
    <row r="6" spans="1:55">
      <c r="B6" s="45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7"/>
    </row>
    <row r="7" spans="1:55">
      <c r="B7" s="48"/>
      <c r="BB7" s="49"/>
    </row>
    <row r="8" spans="1:55">
      <c r="B8" s="48"/>
      <c r="BB8" s="49"/>
    </row>
    <row r="9" spans="1:55">
      <c r="B9" s="48"/>
      <c r="BB9" s="49"/>
    </row>
    <row r="10" spans="1:55">
      <c r="B10" s="48"/>
      <c r="BB10" s="49"/>
    </row>
    <row r="11" spans="1:55">
      <c r="B11" s="48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C11" s="134"/>
      <c r="AD11" s="134"/>
      <c r="AE11" s="134"/>
      <c r="AF11" s="134"/>
      <c r="AG11" s="134"/>
      <c r="AH11" s="134"/>
      <c r="AI11" s="134"/>
      <c r="AJ11" s="134"/>
      <c r="AK11" s="134"/>
      <c r="AL11" s="134"/>
      <c r="AM11" s="134"/>
      <c r="AN11" s="134"/>
      <c r="AO11" s="134"/>
      <c r="AP11" s="134"/>
      <c r="AQ11" s="134"/>
      <c r="AR11" s="134"/>
      <c r="AS11" s="134"/>
      <c r="AT11" s="134"/>
      <c r="AU11" s="134"/>
      <c r="AV11" s="134"/>
      <c r="AW11" s="134"/>
      <c r="BB11" s="49"/>
    </row>
    <row r="12" spans="1:55">
      <c r="B12" s="48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C12" s="134"/>
      <c r="AD12" s="134"/>
      <c r="AE12" s="134"/>
      <c r="AF12" s="134"/>
      <c r="AG12" s="134"/>
      <c r="AH12" s="134"/>
      <c r="AI12" s="134"/>
      <c r="AJ12" s="134"/>
      <c r="AK12" s="134"/>
      <c r="AL12" s="134"/>
      <c r="AM12" s="134"/>
      <c r="AN12" s="134"/>
      <c r="AO12" s="134"/>
      <c r="AP12" s="134"/>
      <c r="AQ12" s="134"/>
      <c r="AR12" s="134"/>
      <c r="AS12" s="134"/>
      <c r="AT12" s="134"/>
      <c r="AU12" s="134"/>
      <c r="AV12" s="134"/>
      <c r="AW12" s="134"/>
      <c r="BB12" s="49"/>
    </row>
    <row r="13" spans="1:55">
      <c r="B13" s="48"/>
      <c r="BB13" s="49"/>
    </row>
    <row r="14" spans="1:55">
      <c r="B14" s="48"/>
      <c r="BB14" s="49"/>
    </row>
    <row r="15" spans="1:55">
      <c r="B15" s="48"/>
      <c r="BB15" s="49"/>
    </row>
    <row r="16" spans="1:55">
      <c r="B16" s="48"/>
      <c r="BB16" s="49"/>
    </row>
    <row r="17" spans="2:54">
      <c r="B17" s="48"/>
      <c r="BB17" s="49"/>
    </row>
    <row r="18" spans="2:54">
      <c r="B18" s="48"/>
      <c r="BB18" s="49"/>
    </row>
    <row r="19" spans="2:54">
      <c r="B19" s="48"/>
      <c r="BB19" s="49"/>
    </row>
    <row r="20" spans="2:54">
      <c r="B20" s="48"/>
      <c r="BB20" s="49"/>
    </row>
    <row r="21" spans="2:54">
      <c r="B21" s="48"/>
      <c r="BB21" s="49"/>
    </row>
    <row r="22" spans="2:54">
      <c r="B22" s="48"/>
      <c r="BB22" s="49"/>
    </row>
    <row r="23" spans="2:54" ht="15.75" customHeight="1">
      <c r="B23" s="48"/>
      <c r="BB23" s="49"/>
    </row>
    <row r="24" spans="2:54">
      <c r="B24" s="48"/>
      <c r="BB24" s="49"/>
    </row>
    <row r="25" spans="2:54">
      <c r="B25" s="48"/>
      <c r="BB25" s="49"/>
    </row>
    <row r="26" spans="2:54">
      <c r="B26" s="48"/>
      <c r="BB26" s="49"/>
    </row>
    <row r="27" spans="2:54">
      <c r="B27" s="48"/>
      <c r="BB27" s="49"/>
    </row>
    <row r="28" spans="2:54">
      <c r="B28" s="48"/>
      <c r="BB28" s="49"/>
    </row>
    <row r="29" spans="2:54">
      <c r="B29" s="48"/>
      <c r="BB29" s="49"/>
    </row>
    <row r="30" spans="2:54">
      <c r="B30" s="48"/>
      <c r="BB30" s="49"/>
    </row>
    <row r="31" spans="2:54">
      <c r="B31" s="48"/>
      <c r="BB31" s="49"/>
    </row>
    <row r="32" spans="2:54">
      <c r="B32" s="48"/>
      <c r="BB32" s="49"/>
    </row>
    <row r="33" spans="2:54">
      <c r="B33" s="48"/>
      <c r="BB33" s="49"/>
    </row>
    <row r="34" spans="2:54">
      <c r="B34" s="48"/>
      <c r="BB34" s="49"/>
    </row>
    <row r="35" spans="2:54">
      <c r="B35" s="48"/>
      <c r="BB35" s="49"/>
    </row>
    <row r="36" spans="2:54">
      <c r="B36" s="48"/>
      <c r="BB36" s="49"/>
    </row>
    <row r="37" spans="2:54">
      <c r="B37" s="48"/>
      <c r="BB37" s="49"/>
    </row>
    <row r="38" spans="2:54">
      <c r="B38" s="48"/>
      <c r="BB38" s="49"/>
    </row>
    <row r="39" spans="2:54">
      <c r="B39" s="48"/>
      <c r="BB39" s="49"/>
    </row>
    <row r="40" spans="2:54">
      <c r="B40" s="48"/>
      <c r="BB40" s="49"/>
    </row>
    <row r="41" spans="2:54">
      <c r="B41" s="48"/>
      <c r="BB41" s="49"/>
    </row>
    <row r="42" spans="2:54">
      <c r="B42" s="48"/>
      <c r="BB42" s="49"/>
    </row>
    <row r="43" spans="2:54">
      <c r="B43" s="48"/>
      <c r="BB43" s="49"/>
    </row>
    <row r="44" spans="2:54">
      <c r="B44" s="48"/>
      <c r="BB44" s="49"/>
    </row>
    <row r="45" spans="2:54">
      <c r="B45" s="48"/>
      <c r="BB45" s="49"/>
    </row>
    <row r="46" spans="2:54">
      <c r="B46" s="48"/>
      <c r="BB46" s="49"/>
    </row>
    <row r="47" spans="2:54">
      <c r="B47" s="48"/>
      <c r="BB47" s="49"/>
    </row>
    <row r="48" spans="2:54">
      <c r="B48" s="48"/>
      <c r="BB48" s="49"/>
    </row>
    <row r="49" spans="2:54">
      <c r="B49" s="48"/>
      <c r="BB49" s="49"/>
    </row>
    <row r="50" spans="2:54" ht="16.5" thickBot="1">
      <c r="B50" s="50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52"/>
    </row>
    <row r="51" spans="2:54" ht="7.5" customHeight="1"/>
    <row r="52" spans="2:54" ht="7.9" customHeight="1" thickBot="1"/>
    <row r="53" spans="2:54" ht="16.5" thickBot="1">
      <c r="B53" s="53" t="s">
        <v>16</v>
      </c>
      <c r="C53" s="57" t="s">
        <v>17</v>
      </c>
      <c r="D53" s="54"/>
      <c r="E53" s="54"/>
      <c r="F53" s="54"/>
      <c r="G53" s="54"/>
      <c r="H53" s="58"/>
      <c r="I53" s="57" t="s">
        <v>18</v>
      </c>
      <c r="J53" s="54"/>
      <c r="K53" s="54"/>
      <c r="L53" s="58"/>
      <c r="M53" s="129" t="s">
        <v>19</v>
      </c>
      <c r="N53" s="130"/>
      <c r="O53" s="129" t="s">
        <v>20</v>
      </c>
      <c r="P53" s="130"/>
      <c r="Q53" s="54" t="s">
        <v>21</v>
      </c>
      <c r="R53" s="54"/>
      <c r="S53" s="54"/>
      <c r="T53" s="54"/>
      <c r="U53" s="54"/>
      <c r="V53" s="54"/>
      <c r="W53" s="58"/>
      <c r="X53" s="57" t="s">
        <v>22</v>
      </c>
      <c r="Y53" s="54"/>
      <c r="Z53" s="54"/>
      <c r="AA53" s="54"/>
      <c r="AB53" s="54"/>
      <c r="AC53" s="54"/>
      <c r="AD53" s="58"/>
      <c r="AE53" s="57" t="s">
        <v>34</v>
      </c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7" t="s">
        <v>120</v>
      </c>
      <c r="AW53" s="54"/>
      <c r="AX53" s="54"/>
      <c r="AY53" s="54"/>
      <c r="AZ53" s="54"/>
      <c r="BA53" s="54"/>
      <c r="BB53" s="56"/>
    </row>
    <row r="54" spans="2:54">
      <c r="B54" s="45">
        <f>ROW()-53</f>
        <v>1</v>
      </c>
      <c r="C54" s="68" t="s">
        <v>37</v>
      </c>
      <c r="D54" s="46"/>
      <c r="E54" s="46"/>
      <c r="F54" s="46"/>
      <c r="G54" s="46"/>
      <c r="H54" s="84"/>
      <c r="I54" s="68" t="s">
        <v>29</v>
      </c>
      <c r="J54" s="46"/>
      <c r="K54" s="46"/>
      <c r="L54" s="84"/>
      <c r="M54" s="136" t="s">
        <v>33</v>
      </c>
      <c r="N54" s="136"/>
      <c r="O54" s="136" t="s">
        <v>39</v>
      </c>
      <c r="P54" s="136"/>
      <c r="Q54" s="46"/>
      <c r="R54" s="46"/>
      <c r="S54" s="46"/>
      <c r="T54" s="46"/>
      <c r="U54" s="46"/>
      <c r="V54" s="46"/>
      <c r="W54" s="84"/>
      <c r="X54" s="68"/>
      <c r="Y54" s="46"/>
      <c r="Z54" s="46"/>
      <c r="AA54" s="46"/>
      <c r="AB54" s="46"/>
      <c r="AC54" s="46"/>
      <c r="AD54" s="84"/>
      <c r="AE54" s="68" t="s">
        <v>38</v>
      </c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68" t="s">
        <v>121</v>
      </c>
      <c r="AW54" s="46"/>
      <c r="AX54" s="46"/>
      <c r="AY54" s="46"/>
      <c r="AZ54" s="46"/>
      <c r="BA54" s="46"/>
      <c r="BB54" s="47"/>
    </row>
    <row r="55" spans="2:54">
      <c r="B55" s="73">
        <f>ROW()-53</f>
        <v>2</v>
      </c>
      <c r="C55" s="60" t="s">
        <v>112</v>
      </c>
      <c r="D55" s="61"/>
      <c r="E55" s="61"/>
      <c r="F55" s="61"/>
      <c r="G55" s="61"/>
      <c r="H55" s="62"/>
      <c r="I55" s="60" t="s">
        <v>23</v>
      </c>
      <c r="J55" s="61"/>
      <c r="K55" s="61"/>
      <c r="L55" s="62"/>
      <c r="M55" s="137" t="s">
        <v>24</v>
      </c>
      <c r="N55" s="137"/>
      <c r="O55" s="137">
        <v>20</v>
      </c>
      <c r="P55" s="137"/>
      <c r="Q55" s="61"/>
      <c r="R55" s="61"/>
      <c r="S55" s="61"/>
      <c r="T55" s="61"/>
      <c r="U55" s="61"/>
      <c r="V55" s="61"/>
      <c r="W55" s="62"/>
      <c r="X55" s="60"/>
      <c r="Y55" s="61"/>
      <c r="Z55" s="61"/>
      <c r="AA55" s="61"/>
      <c r="AB55" s="61"/>
      <c r="AC55" s="61"/>
      <c r="AD55" s="62"/>
      <c r="AE55" s="60" t="s">
        <v>36</v>
      </c>
      <c r="AF55" s="61"/>
      <c r="AG55" s="61"/>
      <c r="AH55" s="61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232" t="s">
        <v>122</v>
      </c>
      <c r="AW55" s="233"/>
      <c r="AX55" s="233"/>
      <c r="AY55" s="233"/>
      <c r="AZ55" s="233"/>
      <c r="BA55" s="233"/>
      <c r="BB55" s="234"/>
    </row>
    <row r="56" spans="2:54">
      <c r="B56" s="59">
        <f>ROW()-53</f>
        <v>3</v>
      </c>
      <c r="C56" s="60" t="s">
        <v>25</v>
      </c>
      <c r="D56" s="61"/>
      <c r="E56" s="61"/>
      <c r="F56" s="61"/>
      <c r="G56" s="61"/>
      <c r="H56" s="62"/>
      <c r="I56" s="60" t="s">
        <v>25</v>
      </c>
      <c r="J56" s="61"/>
      <c r="K56" s="61"/>
      <c r="L56" s="62"/>
      <c r="M56" s="137" t="s">
        <v>24</v>
      </c>
      <c r="N56" s="137"/>
      <c r="O56" s="137">
        <v>20</v>
      </c>
      <c r="P56" s="137"/>
      <c r="Q56" s="61"/>
      <c r="R56" s="61"/>
      <c r="S56" s="61"/>
      <c r="T56" s="61"/>
      <c r="U56" s="61"/>
      <c r="V56" s="61"/>
      <c r="W56" s="62"/>
      <c r="X56" s="60"/>
      <c r="Y56" s="61"/>
      <c r="Z56" s="61"/>
      <c r="AA56" s="61"/>
      <c r="AB56" s="61"/>
      <c r="AC56" s="61"/>
      <c r="AD56" s="62"/>
      <c r="AE56" s="60" t="s">
        <v>36</v>
      </c>
      <c r="AF56" s="61"/>
      <c r="AG56" s="61"/>
      <c r="AH56" s="61"/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232" t="s">
        <v>123</v>
      </c>
      <c r="AW56" s="233"/>
      <c r="AX56" s="233"/>
      <c r="AY56" s="233"/>
      <c r="AZ56" s="233"/>
      <c r="BA56" s="233"/>
      <c r="BB56" s="234"/>
    </row>
    <row r="57" spans="2:54" ht="16.5" thickBot="1">
      <c r="B57" s="63">
        <f>ROW()-53</f>
        <v>4</v>
      </c>
      <c r="C57" s="64" t="s">
        <v>26</v>
      </c>
      <c r="D57" s="65"/>
      <c r="E57" s="65"/>
      <c r="F57" s="65"/>
      <c r="G57" s="65"/>
      <c r="H57" s="66"/>
      <c r="I57" s="64" t="s">
        <v>27</v>
      </c>
      <c r="J57" s="65"/>
      <c r="K57" s="65"/>
      <c r="L57" s="66"/>
      <c r="M57" s="135" t="s">
        <v>28</v>
      </c>
      <c r="N57" s="135"/>
      <c r="O57" s="135" t="s">
        <v>28</v>
      </c>
      <c r="P57" s="135"/>
      <c r="Q57" s="65"/>
      <c r="R57" s="65"/>
      <c r="S57" s="65"/>
      <c r="T57" s="65"/>
      <c r="U57" s="65"/>
      <c r="V57" s="65"/>
      <c r="W57" s="66"/>
      <c r="X57" s="64"/>
      <c r="Y57" s="65"/>
      <c r="Z57" s="65"/>
      <c r="AA57" s="65"/>
      <c r="AB57" s="65"/>
      <c r="AC57" s="65"/>
      <c r="AD57" s="66"/>
      <c r="AE57" s="64" t="s">
        <v>45</v>
      </c>
      <c r="AF57" s="65"/>
      <c r="AG57" s="65"/>
      <c r="AH57" s="65"/>
      <c r="AI57" s="65"/>
      <c r="AJ57" s="65"/>
      <c r="AK57" s="65"/>
      <c r="AL57" s="65"/>
      <c r="AM57" s="65"/>
      <c r="AN57" s="65"/>
      <c r="AO57" s="65"/>
      <c r="AP57" s="65"/>
      <c r="AQ57" s="65"/>
      <c r="AR57" s="65"/>
      <c r="AS57" s="65"/>
      <c r="AT57" s="65"/>
      <c r="AU57" s="65"/>
      <c r="AV57" s="64" t="s">
        <v>124</v>
      </c>
      <c r="AW57" s="65"/>
      <c r="AX57" s="65"/>
      <c r="AY57" s="65"/>
      <c r="AZ57" s="65"/>
      <c r="BA57" s="65"/>
      <c r="BB57" s="67"/>
    </row>
    <row r="58" spans="2:54" ht="7.9" customHeight="1"/>
  </sheetData>
  <mergeCells count="39">
    <mergeCell ref="AV55:BB55"/>
    <mergeCell ref="AV56:BB56"/>
    <mergeCell ref="M57:N57"/>
    <mergeCell ref="O57:P57"/>
    <mergeCell ref="M53:N53"/>
    <mergeCell ref="O53:P53"/>
    <mergeCell ref="M55:N55"/>
    <mergeCell ref="O55:P55"/>
    <mergeCell ref="M56:N56"/>
    <mergeCell ref="O56:P56"/>
    <mergeCell ref="M54:N54"/>
    <mergeCell ref="O54:P54"/>
    <mergeCell ref="AC11:AW12"/>
    <mergeCell ref="B2:K3"/>
    <mergeCell ref="L2:Q2"/>
    <mergeCell ref="R2:W2"/>
    <mergeCell ref="X2:AC2"/>
    <mergeCell ref="F11:Z12"/>
    <mergeCell ref="AD2:AK3"/>
    <mergeCell ref="AP2:AS2"/>
    <mergeCell ref="AT2:AX2"/>
    <mergeCell ref="AL4:AU4"/>
    <mergeCell ref="AV4:AX4"/>
    <mergeCell ref="AY2:BB2"/>
    <mergeCell ref="M3:Q3"/>
    <mergeCell ref="S3:W3"/>
    <mergeCell ref="Y3:AC3"/>
    <mergeCell ref="AL3:AO3"/>
    <mergeCell ref="AP3:AS3"/>
    <mergeCell ref="AT3:AX3"/>
    <mergeCell ref="AY3:BB3"/>
    <mergeCell ref="AL2:AO2"/>
    <mergeCell ref="AY4:BA4"/>
    <mergeCell ref="C4:E4"/>
    <mergeCell ref="F4:G4"/>
    <mergeCell ref="H4:S4"/>
    <mergeCell ref="T4:U4"/>
    <mergeCell ref="V4:AE4"/>
    <mergeCell ref="AI4:AJ4"/>
  </mergeCells>
  <phoneticPr fontId="3"/>
  <pageMargins left="0.35433070866141736" right="0.39370078740157483" top="0.78740157480314965" bottom="0.39370078740157483" header="0.39370078740157483" footer="0.39370078740157483"/>
  <pageSetup paperSize="9" scale="63" fitToHeight="0" orientation="landscape" r:id="rId1"/>
  <headerFooter alignWithMargins="0">
    <oddHeader>&amp;R&amp;G</oddHeader>
    <oddFooter>&amp;C&amp;8&amp;P&amp;R&amp;9©2021 SUS Co., Ltd. All right reserved</oddFooter>
  </headerFooter>
  <rowBreaks count="1" manualBreakCount="1">
    <brk id="51" max="54" man="1"/>
  </rowBreaks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B6D54-A5B0-4A48-B75E-4D051768B2CC}">
  <sheetPr>
    <pageSetUpPr fitToPage="1"/>
  </sheetPr>
  <dimension ref="A1:BC58"/>
  <sheetViews>
    <sheetView showGridLines="0" zoomScale="93" zoomScaleNormal="85" zoomScaleSheetLayoutView="85" workbookViewId="0">
      <pane ySplit="5" topLeftCell="A30" activePane="bottomLeft" state="frozen"/>
      <selection activeCell="B6" sqref="B6"/>
      <selection pane="bottomLeft" activeCell="BB57" sqref="B53:BB57"/>
    </sheetView>
  </sheetViews>
  <sheetFormatPr defaultColWidth="3.75" defaultRowHeight="15.75"/>
  <cols>
    <col min="1" max="1" width="0.875" style="44" customWidth="1"/>
    <col min="2" max="54" width="3.75" style="44"/>
    <col min="55" max="55" width="0.875" style="44" customWidth="1"/>
    <col min="56" max="16384" width="3.75" style="44"/>
  </cols>
  <sheetData>
    <row r="1" spans="1:55" s="38" customFormat="1" ht="6.75" customHeight="1" thickBot="1">
      <c r="A1" s="35"/>
      <c r="B1" s="36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</row>
    <row r="2" spans="1:55" s="38" customFormat="1" ht="20.25" customHeight="1" thickTop="1">
      <c r="A2" s="37"/>
      <c r="B2" s="97" t="str">
        <f>改版履歴!B2</f>
        <v>楽曲検索システム</v>
      </c>
      <c r="C2" s="98"/>
      <c r="D2" s="98"/>
      <c r="E2" s="98"/>
      <c r="F2" s="98"/>
      <c r="G2" s="98"/>
      <c r="H2" s="98"/>
      <c r="I2" s="98"/>
      <c r="J2" s="98"/>
      <c r="K2" s="99"/>
      <c r="L2" s="103" t="str">
        <f>改版履歴!L2</f>
        <v>システム</v>
      </c>
      <c r="M2" s="104"/>
      <c r="N2" s="104"/>
      <c r="O2" s="104"/>
      <c r="P2" s="104"/>
      <c r="Q2" s="104"/>
      <c r="R2" s="104" t="str">
        <f>改版履歴!R2</f>
        <v>サブシステム</v>
      </c>
      <c r="S2" s="104"/>
      <c r="T2" s="104"/>
      <c r="U2" s="104"/>
      <c r="V2" s="104"/>
      <c r="W2" s="104"/>
      <c r="X2" s="104" t="str">
        <f>改版履歴!X2</f>
        <v>プログラム</v>
      </c>
      <c r="Y2" s="104"/>
      <c r="Z2" s="104"/>
      <c r="AA2" s="104"/>
      <c r="AB2" s="104"/>
      <c r="AC2" s="104"/>
      <c r="AD2" s="105" t="str">
        <f ca="1">MID(CELL("filename",$A$1),FIND("]",CELL("filename",$A$1))+1,31)</f>
        <v>②新規登録画面</v>
      </c>
      <c r="AE2" s="106"/>
      <c r="AF2" s="106"/>
      <c r="AG2" s="106"/>
      <c r="AH2" s="106"/>
      <c r="AI2" s="106"/>
      <c r="AJ2" s="106"/>
      <c r="AK2" s="107"/>
      <c r="AL2" s="111" t="s">
        <v>4</v>
      </c>
      <c r="AM2" s="112"/>
      <c r="AN2" s="112"/>
      <c r="AO2" s="113"/>
      <c r="AP2" s="111" t="s">
        <v>5</v>
      </c>
      <c r="AQ2" s="112"/>
      <c r="AR2" s="112"/>
      <c r="AS2" s="113"/>
      <c r="AT2" s="114" t="s">
        <v>6</v>
      </c>
      <c r="AU2" s="115"/>
      <c r="AV2" s="115"/>
      <c r="AW2" s="115"/>
      <c r="AX2" s="116"/>
      <c r="AY2" s="117" t="s">
        <v>7</v>
      </c>
      <c r="AZ2" s="118"/>
      <c r="BA2" s="118"/>
      <c r="BB2" s="119"/>
      <c r="BC2" s="37"/>
    </row>
    <row r="3" spans="1:55" s="38" customFormat="1" ht="20.25" customHeight="1" thickBot="1">
      <c r="A3" s="37"/>
      <c r="B3" s="100"/>
      <c r="C3" s="101"/>
      <c r="D3" s="101"/>
      <c r="E3" s="101"/>
      <c r="F3" s="101"/>
      <c r="G3" s="101"/>
      <c r="H3" s="101"/>
      <c r="I3" s="101"/>
      <c r="J3" s="101"/>
      <c r="K3" s="102"/>
      <c r="L3" s="39" t="s">
        <v>8</v>
      </c>
      <c r="M3" s="120" t="str">
        <f>IF(改版履歴!M3=0,"",改版履歴!M3)</f>
        <v/>
      </c>
      <c r="N3" s="121"/>
      <c r="O3" s="121"/>
      <c r="P3" s="121"/>
      <c r="Q3" s="122"/>
      <c r="R3" s="40" t="s">
        <v>8</v>
      </c>
      <c r="S3" s="120" t="str">
        <f>IF(改版履歴!S3=0,"",改版履歴!S3)</f>
        <v/>
      </c>
      <c r="T3" s="121"/>
      <c r="U3" s="121"/>
      <c r="V3" s="121"/>
      <c r="W3" s="122"/>
      <c r="X3" s="40" t="s">
        <v>8</v>
      </c>
      <c r="Y3" s="120" t="str">
        <f>IF(改版履歴!Y3=0,"",改版履歴!Y3)</f>
        <v/>
      </c>
      <c r="Z3" s="121"/>
      <c r="AA3" s="121"/>
      <c r="AB3" s="121"/>
      <c r="AC3" s="122"/>
      <c r="AD3" s="108"/>
      <c r="AE3" s="109"/>
      <c r="AF3" s="109"/>
      <c r="AG3" s="109"/>
      <c r="AH3" s="109"/>
      <c r="AI3" s="109"/>
      <c r="AJ3" s="109"/>
      <c r="AK3" s="110"/>
      <c r="AL3" s="123">
        <f>改版履歴!AL3</f>
        <v>46139</v>
      </c>
      <c r="AM3" s="124"/>
      <c r="AN3" s="124"/>
      <c r="AO3" s="125"/>
      <c r="AP3" s="123">
        <f>改版履歴!AP3</f>
        <v>46177</v>
      </c>
      <c r="AQ3" s="124"/>
      <c r="AR3" s="124"/>
      <c r="AS3" s="125"/>
      <c r="AT3" s="126" t="str">
        <f>改版履歴!AT3</f>
        <v>野村　翼</v>
      </c>
      <c r="AU3" s="127"/>
      <c r="AV3" s="127"/>
      <c r="AW3" s="127"/>
      <c r="AX3" s="128"/>
      <c r="AY3" s="111" t="str">
        <f>改版履歴!AY3</f>
        <v>第1.6版</v>
      </c>
      <c r="AZ3" s="112"/>
      <c r="BA3" s="112"/>
      <c r="BB3" s="113"/>
      <c r="BC3" s="37"/>
    </row>
    <row r="4" spans="1:55" s="38" customFormat="1" ht="6.75" customHeight="1" thickTop="1" thickBot="1">
      <c r="A4" s="41"/>
      <c r="B4" s="41"/>
      <c r="C4" s="131"/>
      <c r="D4" s="131"/>
      <c r="E4" s="131"/>
      <c r="F4" s="131"/>
      <c r="G4" s="131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42"/>
      <c r="AG4" s="42"/>
      <c r="AH4" s="42"/>
      <c r="AI4" s="133"/>
      <c r="AJ4" s="133"/>
      <c r="AK4" s="42"/>
      <c r="AL4" s="133"/>
      <c r="AM4" s="133"/>
      <c r="AN4" s="133"/>
      <c r="AO4" s="133"/>
      <c r="AP4" s="133"/>
      <c r="AQ4" s="133"/>
      <c r="AR4" s="133"/>
      <c r="AS4" s="133"/>
      <c r="AT4" s="133"/>
      <c r="AU4" s="133"/>
      <c r="AV4" s="133"/>
      <c r="AW4" s="133"/>
      <c r="AX4" s="133"/>
      <c r="AY4" s="133"/>
      <c r="AZ4" s="133"/>
      <c r="BA4" s="133"/>
      <c r="BB4" s="42"/>
      <c r="BC4" s="41"/>
    </row>
    <row r="5" spans="1:55" s="43" customFormat="1" ht="16.5" thickBot="1">
      <c r="B5" s="53" t="s">
        <v>15</v>
      </c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5"/>
      <c r="AF5" s="55"/>
      <c r="AG5" s="55"/>
      <c r="AH5" s="55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6"/>
    </row>
    <row r="6" spans="1:55">
      <c r="B6" s="45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7"/>
    </row>
    <row r="7" spans="1:55">
      <c r="B7" s="48"/>
      <c r="BB7" s="49"/>
    </row>
    <row r="8" spans="1:55">
      <c r="B8" s="48"/>
      <c r="BB8" s="49"/>
    </row>
    <row r="9" spans="1:55">
      <c r="B9" s="48"/>
      <c r="BB9" s="49"/>
    </row>
    <row r="10" spans="1:55">
      <c r="B10" s="48"/>
      <c r="BB10" s="49"/>
    </row>
    <row r="11" spans="1:55">
      <c r="B11" s="48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C11" s="134"/>
      <c r="AD11" s="134"/>
      <c r="AE11" s="134"/>
      <c r="AF11" s="134"/>
      <c r="AG11" s="134"/>
      <c r="AH11" s="134"/>
      <c r="AI11" s="134"/>
      <c r="AJ11" s="134"/>
      <c r="AK11" s="134"/>
      <c r="AL11" s="134"/>
      <c r="AM11" s="134"/>
      <c r="AN11" s="134"/>
      <c r="AO11" s="134"/>
      <c r="AP11" s="134"/>
      <c r="AQ11" s="134"/>
      <c r="AR11" s="134"/>
      <c r="AS11" s="134"/>
      <c r="AT11" s="134"/>
      <c r="AU11" s="134"/>
      <c r="AV11" s="134"/>
      <c r="AW11" s="134"/>
      <c r="BB11" s="49"/>
    </row>
    <row r="12" spans="1:55">
      <c r="B12" s="48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C12" s="134"/>
      <c r="AD12" s="134"/>
      <c r="AE12" s="134"/>
      <c r="AF12" s="134"/>
      <c r="AG12" s="134"/>
      <c r="AH12" s="134"/>
      <c r="AI12" s="134"/>
      <c r="AJ12" s="134"/>
      <c r="AK12" s="134"/>
      <c r="AL12" s="134"/>
      <c r="AM12" s="134"/>
      <c r="AN12" s="134"/>
      <c r="AO12" s="134"/>
      <c r="AP12" s="134"/>
      <c r="AQ12" s="134"/>
      <c r="AR12" s="134"/>
      <c r="AS12" s="134"/>
      <c r="AT12" s="134"/>
      <c r="AU12" s="134"/>
      <c r="AV12" s="134"/>
      <c r="AW12" s="134"/>
      <c r="BB12" s="49"/>
    </row>
    <row r="13" spans="1:55">
      <c r="B13" s="48"/>
      <c r="BB13" s="49"/>
    </row>
    <row r="14" spans="1:55">
      <c r="B14" s="48"/>
      <c r="BB14" s="49"/>
    </row>
    <row r="15" spans="1:55">
      <c r="B15" s="48"/>
      <c r="BB15" s="49"/>
    </row>
    <row r="16" spans="1:55">
      <c r="B16" s="48"/>
      <c r="BB16" s="49"/>
    </row>
    <row r="17" spans="2:54">
      <c r="B17" s="48"/>
      <c r="BB17" s="49"/>
    </row>
    <row r="18" spans="2:54">
      <c r="B18" s="48"/>
      <c r="BB18" s="49"/>
    </row>
    <row r="19" spans="2:54">
      <c r="B19" s="48"/>
      <c r="BB19" s="49"/>
    </row>
    <row r="20" spans="2:54">
      <c r="B20" s="48"/>
      <c r="BB20" s="49"/>
    </row>
    <row r="21" spans="2:54">
      <c r="B21" s="48"/>
      <c r="BB21" s="49"/>
    </row>
    <row r="22" spans="2:54">
      <c r="B22" s="48"/>
      <c r="BB22" s="49"/>
    </row>
    <row r="23" spans="2:54" ht="15.75" customHeight="1">
      <c r="B23" s="48"/>
      <c r="BB23" s="49"/>
    </row>
    <row r="24" spans="2:54">
      <c r="B24" s="48"/>
      <c r="BB24" s="49"/>
    </row>
    <row r="25" spans="2:54">
      <c r="B25" s="48"/>
      <c r="BB25" s="49"/>
    </row>
    <row r="26" spans="2:54">
      <c r="B26" s="48"/>
      <c r="BB26" s="49"/>
    </row>
    <row r="27" spans="2:54">
      <c r="B27" s="48"/>
      <c r="BB27" s="49"/>
    </row>
    <row r="28" spans="2:54">
      <c r="B28" s="48"/>
      <c r="BB28" s="49"/>
    </row>
    <row r="29" spans="2:54">
      <c r="B29" s="48"/>
      <c r="BB29" s="49"/>
    </row>
    <row r="30" spans="2:54">
      <c r="B30" s="48"/>
      <c r="BB30" s="49"/>
    </row>
    <row r="31" spans="2:54">
      <c r="B31" s="48"/>
      <c r="BB31" s="49"/>
    </row>
    <row r="32" spans="2:54">
      <c r="B32" s="48"/>
      <c r="BB32" s="49"/>
    </row>
    <row r="33" spans="2:54">
      <c r="B33" s="48"/>
      <c r="BB33" s="49"/>
    </row>
    <row r="34" spans="2:54">
      <c r="B34" s="48"/>
      <c r="BB34" s="49"/>
    </row>
    <row r="35" spans="2:54">
      <c r="B35" s="48"/>
      <c r="BB35" s="49"/>
    </row>
    <row r="36" spans="2:54">
      <c r="B36" s="48"/>
      <c r="BB36" s="49"/>
    </row>
    <row r="37" spans="2:54">
      <c r="B37" s="48"/>
      <c r="BB37" s="49"/>
    </row>
    <row r="38" spans="2:54">
      <c r="B38" s="48"/>
      <c r="BB38" s="49"/>
    </row>
    <row r="39" spans="2:54">
      <c r="B39" s="48"/>
      <c r="BB39" s="49"/>
    </row>
    <row r="40" spans="2:54">
      <c r="B40" s="48"/>
      <c r="BB40" s="49"/>
    </row>
    <row r="41" spans="2:54">
      <c r="B41" s="48"/>
      <c r="BB41" s="49"/>
    </row>
    <row r="42" spans="2:54">
      <c r="B42" s="48"/>
      <c r="BB42" s="49"/>
    </row>
    <row r="43" spans="2:54">
      <c r="B43" s="48"/>
      <c r="BB43" s="49"/>
    </row>
    <row r="44" spans="2:54">
      <c r="B44" s="48"/>
      <c r="BB44" s="49"/>
    </row>
    <row r="45" spans="2:54">
      <c r="B45" s="48"/>
      <c r="BB45" s="49"/>
    </row>
    <row r="46" spans="2:54">
      <c r="B46" s="48"/>
      <c r="BB46" s="49"/>
    </row>
    <row r="47" spans="2:54">
      <c r="B47" s="48"/>
      <c r="BB47" s="49"/>
    </row>
    <row r="48" spans="2:54">
      <c r="B48" s="48"/>
      <c r="BB48" s="49"/>
    </row>
    <row r="49" spans="2:54">
      <c r="B49" s="48"/>
      <c r="BB49" s="49"/>
    </row>
    <row r="50" spans="2:54" ht="16.5" thickBot="1">
      <c r="B50" s="50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52"/>
    </row>
    <row r="51" spans="2:54" ht="7.5" customHeight="1"/>
    <row r="52" spans="2:54" ht="7.9" customHeight="1" thickBot="1"/>
    <row r="53" spans="2:54" ht="16.5" thickBot="1">
      <c r="B53" s="53" t="s">
        <v>16</v>
      </c>
      <c r="C53" s="57" t="s">
        <v>17</v>
      </c>
      <c r="D53" s="54"/>
      <c r="E53" s="54"/>
      <c r="F53" s="54"/>
      <c r="G53" s="54"/>
      <c r="H53" s="58"/>
      <c r="I53" s="57" t="s">
        <v>18</v>
      </c>
      <c r="J53" s="54"/>
      <c r="K53" s="54"/>
      <c r="L53" s="58"/>
      <c r="M53" s="129" t="s">
        <v>19</v>
      </c>
      <c r="N53" s="130"/>
      <c r="O53" s="129" t="s">
        <v>20</v>
      </c>
      <c r="P53" s="130"/>
      <c r="Q53" s="54" t="s">
        <v>21</v>
      </c>
      <c r="R53" s="54"/>
      <c r="S53" s="54"/>
      <c r="T53" s="54"/>
      <c r="U53" s="54"/>
      <c r="V53" s="54"/>
      <c r="W53" s="58"/>
      <c r="X53" s="57" t="s">
        <v>22</v>
      </c>
      <c r="Y53" s="54"/>
      <c r="Z53" s="54"/>
      <c r="AA53" s="54"/>
      <c r="AB53" s="54"/>
      <c r="AC53" s="54"/>
      <c r="AD53" s="58"/>
      <c r="AE53" s="57" t="s">
        <v>34</v>
      </c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7" t="s">
        <v>125</v>
      </c>
      <c r="AW53" s="54"/>
      <c r="AX53" s="54"/>
      <c r="AY53" s="54"/>
      <c r="AZ53" s="54"/>
      <c r="BA53" s="54"/>
      <c r="BB53" s="56"/>
    </row>
    <row r="54" spans="2:54">
      <c r="B54" s="45">
        <f>ROW()-53</f>
        <v>1</v>
      </c>
      <c r="C54" s="68" t="s">
        <v>26</v>
      </c>
      <c r="D54" s="46"/>
      <c r="E54" s="46"/>
      <c r="F54" s="46"/>
      <c r="G54" s="46"/>
      <c r="H54" s="84"/>
      <c r="I54" s="68" t="s">
        <v>29</v>
      </c>
      <c r="J54" s="46"/>
      <c r="K54" s="46"/>
      <c r="L54" s="84"/>
      <c r="M54" s="136" t="s">
        <v>33</v>
      </c>
      <c r="N54" s="136"/>
      <c r="O54" s="136" t="s">
        <v>28</v>
      </c>
      <c r="P54" s="136"/>
      <c r="Q54" s="46"/>
      <c r="R54" s="46"/>
      <c r="S54" s="46"/>
      <c r="T54" s="46"/>
      <c r="U54" s="46"/>
      <c r="V54" s="46"/>
      <c r="W54" s="84"/>
      <c r="X54" s="68"/>
      <c r="Y54" s="46"/>
      <c r="Z54" s="46"/>
      <c r="AA54" s="46"/>
      <c r="AB54" s="46"/>
      <c r="AC54" s="46"/>
      <c r="AD54" s="84"/>
      <c r="AE54" s="68" t="s">
        <v>62</v>
      </c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68" t="s">
        <v>126</v>
      </c>
      <c r="AW54" s="46"/>
      <c r="AX54" s="46"/>
      <c r="AY54" s="46"/>
      <c r="AZ54" s="46"/>
      <c r="BA54" s="46"/>
      <c r="BB54" s="47"/>
    </row>
    <row r="55" spans="2:54" ht="15.75" customHeight="1">
      <c r="B55" s="73">
        <f>ROW()-53</f>
        <v>2</v>
      </c>
      <c r="C55" s="60" t="s">
        <v>112</v>
      </c>
      <c r="D55" s="61"/>
      <c r="E55" s="61"/>
      <c r="F55" s="61"/>
      <c r="G55" s="61"/>
      <c r="H55" s="62"/>
      <c r="I55" s="60" t="s">
        <v>23</v>
      </c>
      <c r="J55" s="61"/>
      <c r="K55" s="61"/>
      <c r="L55" s="62"/>
      <c r="M55" s="137" t="s">
        <v>24</v>
      </c>
      <c r="N55" s="137"/>
      <c r="O55" s="137">
        <v>20</v>
      </c>
      <c r="P55" s="137"/>
      <c r="Q55" s="61"/>
      <c r="R55" s="61"/>
      <c r="S55" s="61"/>
      <c r="T55" s="61"/>
      <c r="U55" s="61"/>
      <c r="V55" s="61"/>
      <c r="W55" s="62"/>
      <c r="X55" s="60"/>
      <c r="Y55" s="61"/>
      <c r="Z55" s="61"/>
      <c r="AA55" s="61"/>
      <c r="AB55" s="61"/>
      <c r="AC55" s="61"/>
      <c r="AD55" s="62"/>
      <c r="AE55" s="60" t="s">
        <v>36</v>
      </c>
      <c r="AF55" s="61"/>
      <c r="AG55" s="61"/>
      <c r="AH55" s="61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232" t="s">
        <v>127</v>
      </c>
      <c r="AW55" s="233"/>
      <c r="AX55" s="233"/>
      <c r="AY55" s="233"/>
      <c r="AZ55" s="233"/>
      <c r="BA55" s="233"/>
      <c r="BB55" s="234"/>
    </row>
    <row r="56" spans="2:54" ht="15.75" customHeight="1">
      <c r="B56" s="59">
        <f>ROW()-53</f>
        <v>3</v>
      </c>
      <c r="C56" s="60" t="s">
        <v>25</v>
      </c>
      <c r="D56" s="61"/>
      <c r="E56" s="61"/>
      <c r="F56" s="61"/>
      <c r="G56" s="61"/>
      <c r="H56" s="62"/>
      <c r="I56" s="60" t="s">
        <v>25</v>
      </c>
      <c r="J56" s="61"/>
      <c r="K56" s="61"/>
      <c r="L56" s="62"/>
      <c r="M56" s="137" t="s">
        <v>24</v>
      </c>
      <c r="N56" s="137"/>
      <c r="O56" s="137">
        <v>20</v>
      </c>
      <c r="P56" s="137"/>
      <c r="Q56" s="61"/>
      <c r="R56" s="61"/>
      <c r="S56" s="61"/>
      <c r="T56" s="61"/>
      <c r="U56" s="61"/>
      <c r="V56" s="61"/>
      <c r="W56" s="62"/>
      <c r="X56" s="60"/>
      <c r="Y56" s="61"/>
      <c r="Z56" s="61"/>
      <c r="AA56" s="61"/>
      <c r="AB56" s="61"/>
      <c r="AC56" s="61"/>
      <c r="AD56" s="62"/>
      <c r="AE56" s="60" t="s">
        <v>36</v>
      </c>
      <c r="AF56" s="61"/>
      <c r="AG56" s="61"/>
      <c r="AH56" s="61"/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232" t="s">
        <v>128</v>
      </c>
      <c r="AW56" s="233"/>
      <c r="AX56" s="233"/>
      <c r="AY56" s="233"/>
      <c r="AZ56" s="233"/>
      <c r="BA56" s="233"/>
      <c r="BB56" s="234"/>
    </row>
    <row r="57" spans="2:54" ht="16.5" thickBot="1">
      <c r="B57" s="63">
        <f>ROW()-53</f>
        <v>4</v>
      </c>
      <c r="C57" s="64" t="s">
        <v>113</v>
      </c>
      <c r="D57" s="65"/>
      <c r="E57" s="65"/>
      <c r="F57" s="65"/>
      <c r="G57" s="65"/>
      <c r="H57" s="66"/>
      <c r="I57" s="64" t="s">
        <v>27</v>
      </c>
      <c r="J57" s="65"/>
      <c r="K57" s="65"/>
      <c r="L57" s="66"/>
      <c r="M57" s="135" t="s">
        <v>28</v>
      </c>
      <c r="N57" s="135"/>
      <c r="O57" s="135" t="s">
        <v>28</v>
      </c>
      <c r="P57" s="135"/>
      <c r="Q57" s="65"/>
      <c r="R57" s="65"/>
      <c r="S57" s="65"/>
      <c r="T57" s="65"/>
      <c r="U57" s="65"/>
      <c r="V57" s="65"/>
      <c r="W57" s="66"/>
      <c r="X57" s="64"/>
      <c r="Y57" s="65"/>
      <c r="Z57" s="65"/>
      <c r="AA57" s="65"/>
      <c r="AB57" s="65"/>
      <c r="AC57" s="65"/>
      <c r="AD57" s="66"/>
      <c r="AE57" s="64" t="s">
        <v>69</v>
      </c>
      <c r="AF57" s="65"/>
      <c r="AG57" s="65"/>
      <c r="AH57" s="65"/>
      <c r="AI57" s="65"/>
      <c r="AJ57" s="65"/>
      <c r="AK57" s="65"/>
      <c r="AL57" s="65"/>
      <c r="AM57" s="65"/>
      <c r="AN57" s="65"/>
      <c r="AO57" s="65"/>
      <c r="AP57" s="65"/>
      <c r="AQ57" s="65"/>
      <c r="AR57" s="65"/>
      <c r="AS57" s="65"/>
      <c r="AT57" s="65"/>
      <c r="AU57" s="65"/>
      <c r="AV57" s="64" t="s">
        <v>129</v>
      </c>
      <c r="AW57" s="65"/>
      <c r="AX57" s="65"/>
      <c r="AY57" s="65"/>
      <c r="AZ57" s="65"/>
      <c r="BA57" s="65"/>
      <c r="BB57" s="67"/>
    </row>
    <row r="58" spans="2:54" ht="7.9" customHeight="1"/>
  </sheetData>
  <mergeCells count="39">
    <mergeCell ref="AV55:BB55"/>
    <mergeCell ref="AV56:BB56"/>
    <mergeCell ref="M57:N57"/>
    <mergeCell ref="O57:P57"/>
    <mergeCell ref="M54:N54"/>
    <mergeCell ref="O54:P54"/>
    <mergeCell ref="M55:N55"/>
    <mergeCell ref="O55:P55"/>
    <mergeCell ref="M56:N56"/>
    <mergeCell ref="O56:P56"/>
    <mergeCell ref="AL4:AU4"/>
    <mergeCell ref="AV4:AX4"/>
    <mergeCell ref="AY4:BA4"/>
    <mergeCell ref="F11:Z12"/>
    <mergeCell ref="AC11:AW12"/>
    <mergeCell ref="T4:U4"/>
    <mergeCell ref="V4:AE4"/>
    <mergeCell ref="AI4:AJ4"/>
    <mergeCell ref="M53:N53"/>
    <mergeCell ref="O53:P53"/>
    <mergeCell ref="C4:E4"/>
    <mergeCell ref="F4:G4"/>
    <mergeCell ref="H4:S4"/>
    <mergeCell ref="AP2:AS2"/>
    <mergeCell ref="AT2:AX2"/>
    <mergeCell ref="AY2:BB2"/>
    <mergeCell ref="M3:Q3"/>
    <mergeCell ref="S3:W3"/>
    <mergeCell ref="Y3:AC3"/>
    <mergeCell ref="AL3:AO3"/>
    <mergeCell ref="AP3:AS3"/>
    <mergeCell ref="AT3:AX3"/>
    <mergeCell ref="AY3:BB3"/>
    <mergeCell ref="AL2:AO2"/>
    <mergeCell ref="B2:K3"/>
    <mergeCell ref="L2:Q2"/>
    <mergeCell ref="R2:W2"/>
    <mergeCell ref="X2:AC2"/>
    <mergeCell ref="AD2:AK3"/>
  </mergeCells>
  <phoneticPr fontId="3"/>
  <pageMargins left="0.35433070866141736" right="0.39370078740157483" top="0.78740157480314965" bottom="0.39370078740157483" header="0.39370078740157483" footer="0.39370078740157483"/>
  <pageSetup paperSize="9" scale="63" fitToHeight="0" orientation="landscape" r:id="rId1"/>
  <headerFooter alignWithMargins="0">
    <oddHeader>&amp;R&amp;G</oddHeader>
    <oddFooter>&amp;C&amp;8&amp;P&amp;R&amp;9©2021 SUS Co., Ltd. All right reserved</oddFooter>
  </headerFooter>
  <rowBreaks count="1" manualBreakCount="1">
    <brk id="51" max="54" man="1"/>
  </rowBreaks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AAE35-C717-4D3C-84C4-BE6C65029712}">
  <sheetPr>
    <pageSetUpPr fitToPage="1"/>
  </sheetPr>
  <dimension ref="A1:BC56"/>
  <sheetViews>
    <sheetView showGridLines="0" zoomScale="97" zoomScaleNormal="85" zoomScaleSheetLayoutView="85" workbookViewId="0">
      <pane ySplit="5" topLeftCell="A36" activePane="bottomLeft" state="frozen"/>
      <selection activeCell="B6" sqref="B6"/>
      <selection pane="bottomLeft" activeCell="AV53" sqref="AV53:BB55"/>
    </sheetView>
  </sheetViews>
  <sheetFormatPr defaultColWidth="3.75" defaultRowHeight="15.75"/>
  <cols>
    <col min="1" max="1" width="0.875" style="44" customWidth="1"/>
    <col min="2" max="54" width="3.75" style="44"/>
    <col min="55" max="55" width="0.875" style="44" customWidth="1"/>
    <col min="56" max="16384" width="3.75" style="44"/>
  </cols>
  <sheetData>
    <row r="1" spans="1:55" s="38" customFormat="1" ht="6.75" customHeight="1" thickBot="1">
      <c r="A1" s="35"/>
      <c r="B1" s="36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</row>
    <row r="2" spans="1:55" s="38" customFormat="1" ht="20.25" customHeight="1" thickTop="1">
      <c r="A2" s="37"/>
      <c r="B2" s="97" t="str">
        <f>改版履歴!B2</f>
        <v>楽曲検索システム</v>
      </c>
      <c r="C2" s="98"/>
      <c r="D2" s="98"/>
      <c r="E2" s="98"/>
      <c r="F2" s="98"/>
      <c r="G2" s="98"/>
      <c r="H2" s="98"/>
      <c r="I2" s="98"/>
      <c r="J2" s="98"/>
      <c r="K2" s="99"/>
      <c r="L2" s="103" t="str">
        <f>改版履歴!L2</f>
        <v>システム</v>
      </c>
      <c r="M2" s="104"/>
      <c r="N2" s="104"/>
      <c r="O2" s="104"/>
      <c r="P2" s="104"/>
      <c r="Q2" s="104"/>
      <c r="R2" s="104" t="str">
        <f>改版履歴!R2</f>
        <v>サブシステム</v>
      </c>
      <c r="S2" s="104"/>
      <c r="T2" s="104"/>
      <c r="U2" s="104"/>
      <c r="V2" s="104"/>
      <c r="W2" s="104"/>
      <c r="X2" s="104" t="str">
        <f>改版履歴!X2</f>
        <v>プログラム</v>
      </c>
      <c r="Y2" s="104"/>
      <c r="Z2" s="104"/>
      <c r="AA2" s="104"/>
      <c r="AB2" s="104"/>
      <c r="AC2" s="104"/>
      <c r="AD2" s="105" t="str">
        <f ca="1">MID(CELL("filename",$A$1),FIND("]",CELL("filename",$A$1))+1,31)</f>
        <v>②登録確認ダイアログ</v>
      </c>
      <c r="AE2" s="106"/>
      <c r="AF2" s="106"/>
      <c r="AG2" s="106"/>
      <c r="AH2" s="106"/>
      <c r="AI2" s="106"/>
      <c r="AJ2" s="106"/>
      <c r="AK2" s="107"/>
      <c r="AL2" s="111" t="s">
        <v>4</v>
      </c>
      <c r="AM2" s="112"/>
      <c r="AN2" s="112"/>
      <c r="AO2" s="113"/>
      <c r="AP2" s="111" t="s">
        <v>5</v>
      </c>
      <c r="AQ2" s="112"/>
      <c r="AR2" s="112"/>
      <c r="AS2" s="113"/>
      <c r="AT2" s="114" t="s">
        <v>6</v>
      </c>
      <c r="AU2" s="115"/>
      <c r="AV2" s="115"/>
      <c r="AW2" s="115"/>
      <c r="AX2" s="116"/>
      <c r="AY2" s="117" t="s">
        <v>7</v>
      </c>
      <c r="AZ2" s="118"/>
      <c r="BA2" s="118"/>
      <c r="BB2" s="119"/>
      <c r="BC2" s="37"/>
    </row>
    <row r="3" spans="1:55" s="38" customFormat="1" ht="20.25" customHeight="1" thickBot="1">
      <c r="A3" s="37"/>
      <c r="B3" s="100"/>
      <c r="C3" s="101"/>
      <c r="D3" s="101"/>
      <c r="E3" s="101"/>
      <c r="F3" s="101"/>
      <c r="G3" s="101"/>
      <c r="H3" s="101"/>
      <c r="I3" s="101"/>
      <c r="J3" s="101"/>
      <c r="K3" s="102"/>
      <c r="L3" s="39" t="s">
        <v>8</v>
      </c>
      <c r="M3" s="120" t="str">
        <f>IF(改版履歴!M3=0,"",改版履歴!M3)</f>
        <v/>
      </c>
      <c r="N3" s="121"/>
      <c r="O3" s="121"/>
      <c r="P3" s="121"/>
      <c r="Q3" s="122"/>
      <c r="R3" s="40" t="s">
        <v>8</v>
      </c>
      <c r="S3" s="120" t="str">
        <f>IF(改版履歴!S3=0,"",改版履歴!S3)</f>
        <v/>
      </c>
      <c r="T3" s="121"/>
      <c r="U3" s="121"/>
      <c r="V3" s="121"/>
      <c r="W3" s="122"/>
      <c r="X3" s="40" t="s">
        <v>8</v>
      </c>
      <c r="Y3" s="120" t="str">
        <f>IF(改版履歴!Y3=0,"",改版履歴!Y3)</f>
        <v/>
      </c>
      <c r="Z3" s="121"/>
      <c r="AA3" s="121"/>
      <c r="AB3" s="121"/>
      <c r="AC3" s="122"/>
      <c r="AD3" s="108"/>
      <c r="AE3" s="109"/>
      <c r="AF3" s="109"/>
      <c r="AG3" s="109"/>
      <c r="AH3" s="109"/>
      <c r="AI3" s="109"/>
      <c r="AJ3" s="109"/>
      <c r="AK3" s="110"/>
      <c r="AL3" s="123">
        <f>改版履歴!AL3</f>
        <v>46139</v>
      </c>
      <c r="AM3" s="124"/>
      <c r="AN3" s="124"/>
      <c r="AO3" s="125"/>
      <c r="AP3" s="123">
        <f>改版履歴!AP3</f>
        <v>46177</v>
      </c>
      <c r="AQ3" s="124"/>
      <c r="AR3" s="124"/>
      <c r="AS3" s="125"/>
      <c r="AT3" s="126" t="str">
        <f>改版履歴!AT3</f>
        <v>野村　翼</v>
      </c>
      <c r="AU3" s="127"/>
      <c r="AV3" s="127"/>
      <c r="AW3" s="127"/>
      <c r="AX3" s="128"/>
      <c r="AY3" s="111" t="str">
        <f>改版履歴!AY3</f>
        <v>第1.6版</v>
      </c>
      <c r="AZ3" s="112"/>
      <c r="BA3" s="112"/>
      <c r="BB3" s="113"/>
      <c r="BC3" s="37"/>
    </row>
    <row r="4" spans="1:55" s="38" customFormat="1" ht="6.75" customHeight="1" thickTop="1" thickBot="1">
      <c r="A4" s="41"/>
      <c r="B4" s="41"/>
      <c r="C4" s="131"/>
      <c r="D4" s="131"/>
      <c r="E4" s="131"/>
      <c r="F4" s="131"/>
      <c r="G4" s="131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42"/>
      <c r="AG4" s="42"/>
      <c r="AH4" s="42"/>
      <c r="AI4" s="133"/>
      <c r="AJ4" s="133"/>
      <c r="AK4" s="42"/>
      <c r="AL4" s="133"/>
      <c r="AM4" s="133"/>
      <c r="AN4" s="133"/>
      <c r="AO4" s="133"/>
      <c r="AP4" s="133"/>
      <c r="AQ4" s="133"/>
      <c r="AR4" s="133"/>
      <c r="AS4" s="133"/>
      <c r="AT4" s="133"/>
      <c r="AU4" s="133"/>
      <c r="AV4" s="133"/>
      <c r="AW4" s="133"/>
      <c r="AX4" s="133"/>
      <c r="AY4" s="133"/>
      <c r="AZ4" s="133"/>
      <c r="BA4" s="133"/>
      <c r="BB4" s="42"/>
      <c r="BC4" s="41"/>
    </row>
    <row r="5" spans="1:55" s="43" customFormat="1" ht="16.5" thickBot="1">
      <c r="B5" s="53" t="s">
        <v>15</v>
      </c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5"/>
      <c r="AF5" s="55"/>
      <c r="AG5" s="55"/>
      <c r="AH5" s="55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6"/>
    </row>
    <row r="6" spans="1:55">
      <c r="B6" s="45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7"/>
    </row>
    <row r="7" spans="1:55">
      <c r="B7" s="48"/>
      <c r="BB7" s="49"/>
    </row>
    <row r="8" spans="1:55">
      <c r="B8" s="48"/>
      <c r="BB8" s="49"/>
    </row>
    <row r="9" spans="1:55">
      <c r="B9" s="48"/>
      <c r="BB9" s="49"/>
    </row>
    <row r="10" spans="1:55">
      <c r="B10" s="48"/>
      <c r="BB10" s="49"/>
    </row>
    <row r="11" spans="1:55">
      <c r="B11" s="48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C11" s="134"/>
      <c r="AD11" s="134"/>
      <c r="AE11" s="134"/>
      <c r="AF11" s="134"/>
      <c r="AG11" s="134"/>
      <c r="AH11" s="134"/>
      <c r="AI11" s="134"/>
      <c r="AJ11" s="134"/>
      <c r="AK11" s="134"/>
      <c r="AL11" s="134"/>
      <c r="AM11" s="134"/>
      <c r="AN11" s="134"/>
      <c r="AO11" s="134"/>
      <c r="AP11" s="134"/>
      <c r="AQ11" s="134"/>
      <c r="AR11" s="134"/>
      <c r="AS11" s="134"/>
      <c r="AT11" s="134"/>
      <c r="AU11" s="134"/>
      <c r="AV11" s="134"/>
      <c r="AW11" s="134"/>
      <c r="BB11" s="49"/>
    </row>
    <row r="12" spans="1:55">
      <c r="B12" s="48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C12" s="134"/>
      <c r="AD12" s="134"/>
      <c r="AE12" s="134"/>
      <c r="AF12" s="134"/>
      <c r="AG12" s="134"/>
      <c r="AH12" s="134"/>
      <c r="AI12" s="134"/>
      <c r="AJ12" s="134"/>
      <c r="AK12" s="134"/>
      <c r="AL12" s="134"/>
      <c r="AM12" s="134"/>
      <c r="AN12" s="134"/>
      <c r="AO12" s="134"/>
      <c r="AP12" s="134"/>
      <c r="AQ12" s="134"/>
      <c r="AR12" s="134"/>
      <c r="AS12" s="134"/>
      <c r="AT12" s="134"/>
      <c r="AU12" s="134"/>
      <c r="AV12" s="134"/>
      <c r="AW12" s="134"/>
      <c r="BB12" s="49"/>
    </row>
    <row r="13" spans="1:55">
      <c r="B13" s="48"/>
      <c r="BB13" s="49"/>
    </row>
    <row r="14" spans="1:55">
      <c r="B14" s="48"/>
      <c r="BB14" s="49"/>
    </row>
    <row r="15" spans="1:55">
      <c r="B15" s="48"/>
      <c r="BB15" s="49"/>
    </row>
    <row r="16" spans="1:55">
      <c r="B16" s="48"/>
      <c r="BB16" s="49"/>
    </row>
    <row r="17" spans="2:54">
      <c r="B17" s="48"/>
      <c r="BB17" s="49"/>
    </row>
    <row r="18" spans="2:54">
      <c r="B18" s="48"/>
      <c r="BB18" s="49"/>
    </row>
    <row r="19" spans="2:54">
      <c r="B19" s="48"/>
      <c r="BB19" s="49"/>
    </row>
    <row r="20" spans="2:54">
      <c r="B20" s="48"/>
      <c r="BB20" s="49"/>
    </row>
    <row r="21" spans="2:54">
      <c r="B21" s="48"/>
      <c r="BB21" s="49"/>
    </row>
    <row r="22" spans="2:54">
      <c r="B22" s="48"/>
      <c r="BB22" s="49"/>
    </row>
    <row r="23" spans="2:54" ht="15.75" customHeight="1">
      <c r="B23" s="48"/>
      <c r="BB23" s="49"/>
    </row>
    <row r="24" spans="2:54">
      <c r="B24" s="48"/>
      <c r="BB24" s="49"/>
    </row>
    <row r="25" spans="2:54">
      <c r="B25" s="48"/>
      <c r="BB25" s="49"/>
    </row>
    <row r="26" spans="2:54">
      <c r="B26" s="48"/>
      <c r="BB26" s="49"/>
    </row>
    <row r="27" spans="2:54">
      <c r="B27" s="48"/>
      <c r="BB27" s="49"/>
    </row>
    <row r="28" spans="2:54">
      <c r="B28" s="48"/>
      <c r="BB28" s="49"/>
    </row>
    <row r="29" spans="2:54">
      <c r="B29" s="48"/>
      <c r="BB29" s="49"/>
    </row>
    <row r="30" spans="2:54">
      <c r="B30" s="48"/>
      <c r="BB30" s="49"/>
    </row>
    <row r="31" spans="2:54">
      <c r="B31" s="48"/>
      <c r="BB31" s="49"/>
    </row>
    <row r="32" spans="2:54">
      <c r="B32" s="48"/>
      <c r="BB32" s="49"/>
    </row>
    <row r="33" spans="2:54">
      <c r="B33" s="48"/>
      <c r="BB33" s="49"/>
    </row>
    <row r="34" spans="2:54">
      <c r="B34" s="48"/>
      <c r="BB34" s="49"/>
    </row>
    <row r="35" spans="2:54">
      <c r="B35" s="48"/>
      <c r="BB35" s="49"/>
    </row>
    <row r="36" spans="2:54">
      <c r="B36" s="48"/>
      <c r="BB36" s="49"/>
    </row>
    <row r="37" spans="2:54">
      <c r="B37" s="48"/>
      <c r="BB37" s="49"/>
    </row>
    <row r="38" spans="2:54">
      <c r="B38" s="48"/>
      <c r="BB38" s="49"/>
    </row>
    <row r="39" spans="2:54">
      <c r="B39" s="48"/>
      <c r="BB39" s="49"/>
    </row>
    <row r="40" spans="2:54">
      <c r="B40" s="48"/>
      <c r="BB40" s="49"/>
    </row>
    <row r="41" spans="2:54">
      <c r="B41" s="48"/>
      <c r="BB41" s="49"/>
    </row>
    <row r="42" spans="2:54">
      <c r="B42" s="48"/>
      <c r="BB42" s="49"/>
    </row>
    <row r="43" spans="2:54">
      <c r="B43" s="48"/>
      <c r="BB43" s="49"/>
    </row>
    <row r="44" spans="2:54">
      <c r="B44" s="48"/>
      <c r="BB44" s="49"/>
    </row>
    <row r="45" spans="2:54">
      <c r="B45" s="48"/>
      <c r="BB45" s="49"/>
    </row>
    <row r="46" spans="2:54">
      <c r="B46" s="48"/>
      <c r="BB46" s="49"/>
    </row>
    <row r="47" spans="2:54">
      <c r="B47" s="48"/>
      <c r="BB47" s="49"/>
    </row>
    <row r="48" spans="2:54">
      <c r="B48" s="48"/>
      <c r="BB48" s="49"/>
    </row>
    <row r="49" spans="2:54">
      <c r="B49" s="48"/>
      <c r="BB49" s="49"/>
    </row>
    <row r="50" spans="2:54" ht="16.5" thickBot="1">
      <c r="B50" s="50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52"/>
    </row>
    <row r="51" spans="2:54" ht="7.5" customHeight="1"/>
    <row r="52" spans="2:54" ht="7.9" customHeight="1" thickBot="1"/>
    <row r="53" spans="2:54" ht="16.5" thickBot="1">
      <c r="B53" s="53" t="s">
        <v>16</v>
      </c>
      <c r="C53" s="57" t="s">
        <v>17</v>
      </c>
      <c r="D53" s="54"/>
      <c r="E53" s="54"/>
      <c r="F53" s="54"/>
      <c r="G53" s="54"/>
      <c r="H53" s="58"/>
      <c r="I53" s="57" t="s">
        <v>18</v>
      </c>
      <c r="J53" s="54"/>
      <c r="K53" s="54"/>
      <c r="L53" s="58"/>
      <c r="M53" s="129" t="s">
        <v>19</v>
      </c>
      <c r="N53" s="130"/>
      <c r="O53" s="129" t="s">
        <v>20</v>
      </c>
      <c r="P53" s="130"/>
      <c r="Q53" s="54" t="s">
        <v>21</v>
      </c>
      <c r="R53" s="54"/>
      <c r="S53" s="54"/>
      <c r="T53" s="54"/>
      <c r="U53" s="54"/>
      <c r="V53" s="54"/>
      <c r="W53" s="58"/>
      <c r="X53" s="57" t="s">
        <v>22</v>
      </c>
      <c r="Y53" s="54"/>
      <c r="Z53" s="54"/>
      <c r="AA53" s="54"/>
      <c r="AB53" s="54"/>
      <c r="AC53" s="54"/>
      <c r="AD53" s="58"/>
      <c r="AE53" s="57" t="s">
        <v>34</v>
      </c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7" t="s">
        <v>125</v>
      </c>
      <c r="AW53" s="54"/>
      <c r="AX53" s="54"/>
      <c r="AY53" s="54"/>
      <c r="AZ53" s="54"/>
      <c r="BA53" s="54"/>
      <c r="BB53" s="56"/>
    </row>
    <row r="54" spans="2:54" s="87" customFormat="1">
      <c r="B54" s="86">
        <f t="shared" ref="B54:B55" si="0">ROW()-53</f>
        <v>1</v>
      </c>
      <c r="C54" s="77" t="s">
        <v>114</v>
      </c>
      <c r="D54" s="78"/>
      <c r="E54" s="78"/>
      <c r="F54" s="78"/>
      <c r="G54" s="78"/>
      <c r="H54" s="83"/>
      <c r="I54" s="82" t="s">
        <v>27</v>
      </c>
      <c r="J54" s="78"/>
      <c r="K54" s="78"/>
      <c r="L54" s="83"/>
      <c r="M54" s="205" t="s">
        <v>28</v>
      </c>
      <c r="N54" s="206"/>
      <c r="O54" s="205" t="s">
        <v>28</v>
      </c>
      <c r="P54" s="206"/>
      <c r="Q54" s="78"/>
      <c r="R54" s="78"/>
      <c r="S54" s="78"/>
      <c r="T54" s="78"/>
      <c r="U54" s="78"/>
      <c r="V54" s="78"/>
      <c r="W54" s="83"/>
      <c r="X54" s="82"/>
      <c r="Y54" s="78"/>
      <c r="Z54" s="78"/>
      <c r="AA54" s="78"/>
      <c r="AB54" s="78"/>
      <c r="AC54" s="78"/>
      <c r="AD54" s="83"/>
      <c r="AE54" s="82" t="s">
        <v>59</v>
      </c>
      <c r="AF54" s="78"/>
      <c r="AG54" s="78"/>
      <c r="AH54" s="78"/>
      <c r="AI54" s="78"/>
      <c r="AJ54" s="259"/>
      <c r="AK54" s="259"/>
      <c r="AL54" s="259"/>
      <c r="AM54" s="259"/>
      <c r="AN54" s="259"/>
      <c r="AO54" s="259"/>
      <c r="AP54" s="259"/>
      <c r="AQ54" s="259"/>
      <c r="AR54" s="259"/>
      <c r="AS54" s="259"/>
      <c r="AT54" s="259"/>
      <c r="AU54" s="259"/>
      <c r="AV54" s="68" t="s">
        <v>129</v>
      </c>
      <c r="AW54" s="46"/>
      <c r="AX54" s="46"/>
      <c r="AY54" s="46"/>
      <c r="AZ54" s="46"/>
      <c r="BA54" s="46"/>
      <c r="BB54" s="47"/>
    </row>
    <row r="55" spans="2:54" ht="16.5" customHeight="1" thickBot="1">
      <c r="B55" s="74">
        <f t="shared" si="0"/>
        <v>2</v>
      </c>
      <c r="C55" s="94" t="s">
        <v>115</v>
      </c>
      <c r="D55" s="95"/>
      <c r="E55" s="95"/>
      <c r="F55" s="95"/>
      <c r="G55" s="95"/>
      <c r="H55" s="96"/>
      <c r="I55" s="94" t="s">
        <v>27</v>
      </c>
      <c r="J55" s="95"/>
      <c r="K55" s="95"/>
      <c r="L55" s="96"/>
      <c r="M55" s="202" t="s">
        <v>28</v>
      </c>
      <c r="N55" s="203"/>
      <c r="O55" s="202" t="s">
        <v>28</v>
      </c>
      <c r="P55" s="203"/>
      <c r="Q55" s="95"/>
      <c r="R55" s="95"/>
      <c r="S55" s="95"/>
      <c r="T55" s="95"/>
      <c r="U55" s="95"/>
      <c r="V55" s="95"/>
      <c r="W55" s="96"/>
      <c r="X55" s="94"/>
      <c r="Y55" s="95"/>
      <c r="Z55" s="95"/>
      <c r="AA55" s="95"/>
      <c r="AB55" s="95"/>
      <c r="AC55" s="95"/>
      <c r="AD55" s="96"/>
      <c r="AE55" s="94" t="s">
        <v>61</v>
      </c>
      <c r="AF55" s="65"/>
      <c r="AG55" s="65"/>
      <c r="AH55" s="65"/>
      <c r="AI55" s="65"/>
      <c r="AJ55" s="65"/>
      <c r="AK55" s="65"/>
      <c r="AL55" s="65"/>
      <c r="AM55" s="65"/>
      <c r="AN55" s="65"/>
      <c r="AO55" s="65"/>
      <c r="AP55" s="65"/>
      <c r="AQ55" s="65"/>
      <c r="AR55" s="65"/>
      <c r="AS55" s="65"/>
      <c r="AT55" s="65"/>
      <c r="AU55" s="66"/>
      <c r="AV55" s="260" t="s">
        <v>129</v>
      </c>
      <c r="AW55" s="235"/>
      <c r="AX55" s="235"/>
      <c r="AY55" s="235"/>
      <c r="AZ55" s="235"/>
      <c r="BA55" s="235"/>
      <c r="BB55" s="236"/>
    </row>
    <row r="56" spans="2:54" ht="7.9" customHeight="1"/>
  </sheetData>
  <mergeCells count="34">
    <mergeCell ref="M55:N55"/>
    <mergeCell ref="O55:P55"/>
    <mergeCell ref="M54:N54"/>
    <mergeCell ref="O54:P54"/>
    <mergeCell ref="AL4:AU4"/>
    <mergeCell ref="AV4:AX4"/>
    <mergeCell ref="AY4:BA4"/>
    <mergeCell ref="F11:Z12"/>
    <mergeCell ref="AC11:AW12"/>
    <mergeCell ref="M53:N53"/>
    <mergeCell ref="O53:P53"/>
    <mergeCell ref="AI4:AJ4"/>
    <mergeCell ref="AV55:BB55"/>
    <mergeCell ref="C4:E4"/>
    <mergeCell ref="F4:G4"/>
    <mergeCell ref="H4:S4"/>
    <mergeCell ref="T4:U4"/>
    <mergeCell ref="V4:AE4"/>
    <mergeCell ref="AP2:AS2"/>
    <mergeCell ref="AT2:AX2"/>
    <mergeCell ref="AY2:BB2"/>
    <mergeCell ref="M3:Q3"/>
    <mergeCell ref="S3:W3"/>
    <mergeCell ref="Y3:AC3"/>
    <mergeCell ref="AL3:AO3"/>
    <mergeCell ref="AP3:AS3"/>
    <mergeCell ref="AT3:AX3"/>
    <mergeCell ref="AY3:BB3"/>
    <mergeCell ref="AL2:AO2"/>
    <mergeCell ref="B2:K3"/>
    <mergeCell ref="L2:Q2"/>
    <mergeCell ref="R2:W2"/>
    <mergeCell ref="X2:AC2"/>
    <mergeCell ref="AD2:AK3"/>
  </mergeCells>
  <phoneticPr fontId="3"/>
  <pageMargins left="0.35433070866141736" right="0.39370078740157483" top="0.78740157480314965" bottom="0.39370078740157483" header="0.39370078740157483" footer="0.39370078740157483"/>
  <pageSetup paperSize="9" scale="63" fitToHeight="0" orientation="landscape" r:id="rId1"/>
  <headerFooter alignWithMargins="0">
    <oddHeader>&amp;R&amp;G</oddHeader>
    <oddFooter>&amp;C&amp;8&amp;P&amp;R&amp;9©2021 SUS Co., Ltd. All right reserved</oddFooter>
  </headerFooter>
  <rowBreaks count="1" manualBreakCount="1">
    <brk id="51" max="54" man="1"/>
  </rowBreaks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C3B70-2654-408B-B4F9-61D1CA643C48}">
  <sheetPr>
    <pageSetUpPr fitToPage="1"/>
  </sheetPr>
  <dimension ref="A1:BC63"/>
  <sheetViews>
    <sheetView showGridLines="0" topLeftCell="N39" zoomScale="145" zoomScaleNormal="85" zoomScaleSheetLayoutView="85" workbookViewId="0">
      <selection activeCell="Y48" sqref="Y48"/>
    </sheetView>
  </sheetViews>
  <sheetFormatPr defaultColWidth="3.75" defaultRowHeight="15.75"/>
  <cols>
    <col min="1" max="1" width="0.875" style="44" customWidth="1"/>
    <col min="2" max="2" width="4" style="44" customWidth="1"/>
    <col min="3" max="54" width="3.75" style="44"/>
    <col min="55" max="55" width="0.875" style="44" customWidth="1"/>
    <col min="56" max="16384" width="3.75" style="44"/>
  </cols>
  <sheetData>
    <row r="1" spans="1:55" s="38" customFormat="1" ht="6.75" customHeight="1" thickBot="1">
      <c r="A1" s="35"/>
      <c r="B1" s="36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</row>
    <row r="2" spans="1:55" s="38" customFormat="1" ht="20.25" customHeight="1" thickTop="1">
      <c r="A2" s="37"/>
      <c r="B2" s="97" t="str">
        <f>改版履歴!B2</f>
        <v>楽曲検索システム</v>
      </c>
      <c r="C2" s="98"/>
      <c r="D2" s="98"/>
      <c r="E2" s="98"/>
      <c r="F2" s="98"/>
      <c r="G2" s="98"/>
      <c r="H2" s="98"/>
      <c r="I2" s="98"/>
      <c r="J2" s="98"/>
      <c r="K2" s="99"/>
      <c r="L2" s="103" t="str">
        <f>改版履歴!L2</f>
        <v>システム</v>
      </c>
      <c r="M2" s="104"/>
      <c r="N2" s="104"/>
      <c r="O2" s="104"/>
      <c r="P2" s="104"/>
      <c r="Q2" s="104"/>
      <c r="R2" s="104" t="str">
        <f>改版履歴!R2</f>
        <v>サブシステム</v>
      </c>
      <c r="S2" s="104"/>
      <c r="T2" s="104"/>
      <c r="U2" s="104"/>
      <c r="V2" s="104"/>
      <c r="W2" s="104"/>
      <c r="X2" s="104" t="str">
        <f>改版履歴!X2</f>
        <v>プログラム</v>
      </c>
      <c r="Y2" s="104"/>
      <c r="Z2" s="104"/>
      <c r="AA2" s="104"/>
      <c r="AB2" s="104"/>
      <c r="AC2" s="104"/>
      <c r="AD2" s="105" t="str">
        <f ca="1">MID(CELL("filename",$A$1),FIND("]",CELL("filename",$A$1))+1,31)</f>
        <v>③楽曲検索画面</v>
      </c>
      <c r="AE2" s="106"/>
      <c r="AF2" s="106"/>
      <c r="AG2" s="106"/>
      <c r="AH2" s="106"/>
      <c r="AI2" s="106"/>
      <c r="AJ2" s="106"/>
      <c r="AK2" s="107"/>
      <c r="AL2" s="111" t="s">
        <v>4</v>
      </c>
      <c r="AM2" s="112"/>
      <c r="AN2" s="112"/>
      <c r="AO2" s="113"/>
      <c r="AP2" s="111" t="s">
        <v>5</v>
      </c>
      <c r="AQ2" s="112"/>
      <c r="AR2" s="112"/>
      <c r="AS2" s="113"/>
      <c r="AT2" s="114" t="s">
        <v>6</v>
      </c>
      <c r="AU2" s="115"/>
      <c r="AV2" s="115"/>
      <c r="AW2" s="115"/>
      <c r="AX2" s="116"/>
      <c r="AY2" s="117" t="s">
        <v>7</v>
      </c>
      <c r="AZ2" s="118"/>
      <c r="BA2" s="118"/>
      <c r="BB2" s="119"/>
      <c r="BC2" s="37"/>
    </row>
    <row r="3" spans="1:55" s="38" customFormat="1" ht="20.25" customHeight="1" thickBot="1">
      <c r="A3" s="37"/>
      <c r="B3" s="100"/>
      <c r="C3" s="101"/>
      <c r="D3" s="101"/>
      <c r="E3" s="101"/>
      <c r="F3" s="101"/>
      <c r="G3" s="101"/>
      <c r="H3" s="101"/>
      <c r="I3" s="101"/>
      <c r="J3" s="101"/>
      <c r="K3" s="102"/>
      <c r="L3" s="39" t="s">
        <v>8</v>
      </c>
      <c r="M3" s="120" t="str">
        <f>IF(改版履歴!M3=0,"",改版履歴!M3)</f>
        <v/>
      </c>
      <c r="N3" s="121"/>
      <c r="O3" s="121"/>
      <c r="P3" s="121"/>
      <c r="Q3" s="122"/>
      <c r="R3" s="40" t="s">
        <v>8</v>
      </c>
      <c r="S3" s="120" t="str">
        <f>IF(改版履歴!S3=0,"",改版履歴!S3)</f>
        <v/>
      </c>
      <c r="T3" s="121"/>
      <c r="U3" s="121"/>
      <c r="V3" s="121"/>
      <c r="W3" s="122"/>
      <c r="X3" s="40" t="s">
        <v>8</v>
      </c>
      <c r="Y3" s="120" t="str">
        <f>IF(改版履歴!Y3=0,"",改版履歴!Y3)</f>
        <v/>
      </c>
      <c r="Z3" s="121"/>
      <c r="AA3" s="121"/>
      <c r="AB3" s="121"/>
      <c r="AC3" s="122"/>
      <c r="AD3" s="108"/>
      <c r="AE3" s="109"/>
      <c r="AF3" s="109"/>
      <c r="AG3" s="109"/>
      <c r="AH3" s="109"/>
      <c r="AI3" s="109"/>
      <c r="AJ3" s="109"/>
      <c r="AK3" s="110"/>
      <c r="AL3" s="123">
        <f>改版履歴!AL3</f>
        <v>46139</v>
      </c>
      <c r="AM3" s="124"/>
      <c r="AN3" s="124"/>
      <c r="AO3" s="125"/>
      <c r="AP3" s="123">
        <f>改版履歴!AP3</f>
        <v>46177</v>
      </c>
      <c r="AQ3" s="124"/>
      <c r="AR3" s="124"/>
      <c r="AS3" s="125"/>
      <c r="AT3" s="126" t="str">
        <f>改版履歴!AT3</f>
        <v>野村　翼</v>
      </c>
      <c r="AU3" s="127"/>
      <c r="AV3" s="127"/>
      <c r="AW3" s="127"/>
      <c r="AX3" s="128"/>
      <c r="AY3" s="111" t="str">
        <f>改版履歴!AY3</f>
        <v>第1.6版</v>
      </c>
      <c r="AZ3" s="112"/>
      <c r="BA3" s="112"/>
      <c r="BB3" s="113"/>
      <c r="BC3" s="37"/>
    </row>
    <row r="4" spans="1:55" s="38" customFormat="1" ht="6.75" customHeight="1" thickTop="1" thickBot="1">
      <c r="A4" s="41"/>
      <c r="B4" s="41"/>
      <c r="C4" s="131"/>
      <c r="D4" s="131"/>
      <c r="E4" s="131"/>
      <c r="F4" s="131"/>
      <c r="G4" s="131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42"/>
      <c r="AG4" s="42"/>
      <c r="AH4" s="42"/>
      <c r="AI4" s="133"/>
      <c r="AJ4" s="133"/>
      <c r="AK4" s="42"/>
      <c r="AL4" s="133"/>
      <c r="AM4" s="133"/>
      <c r="AN4" s="133"/>
      <c r="AO4" s="133"/>
      <c r="AP4" s="133"/>
      <c r="AQ4" s="133"/>
      <c r="AR4" s="133"/>
      <c r="AS4" s="133"/>
      <c r="AT4" s="133"/>
      <c r="AU4" s="133"/>
      <c r="AV4" s="133"/>
      <c r="AW4" s="133"/>
      <c r="AX4" s="133"/>
      <c r="AY4" s="133"/>
      <c r="AZ4" s="133"/>
      <c r="BA4" s="133"/>
      <c r="BB4" s="42"/>
      <c r="BC4" s="41"/>
    </row>
    <row r="5" spans="1:55" s="43" customFormat="1" ht="16.5" thickBot="1">
      <c r="B5" s="218" t="s">
        <v>15</v>
      </c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19"/>
      <c r="X5" s="219"/>
      <c r="Y5" s="219"/>
      <c r="Z5" s="219"/>
      <c r="AA5" s="219"/>
      <c r="AB5" s="219"/>
      <c r="AC5" s="219"/>
      <c r="AD5" s="219"/>
      <c r="AE5" s="220"/>
      <c r="AF5" s="220"/>
      <c r="AG5" s="220"/>
      <c r="AH5" s="220"/>
      <c r="AI5" s="219"/>
      <c r="AJ5" s="219"/>
      <c r="AK5" s="219"/>
      <c r="AL5" s="219"/>
      <c r="AM5" s="219"/>
      <c r="AN5" s="219"/>
      <c r="AO5" s="219"/>
      <c r="AP5" s="219"/>
      <c r="AQ5" s="219"/>
      <c r="AR5" s="219"/>
      <c r="AS5" s="219"/>
      <c r="AT5" s="219"/>
      <c r="AU5" s="219"/>
      <c r="AV5" s="219"/>
      <c r="AW5" s="219"/>
      <c r="AX5" s="219"/>
      <c r="AY5" s="219"/>
      <c r="AZ5" s="219"/>
      <c r="BA5" s="219"/>
      <c r="BB5" s="221"/>
    </row>
    <row r="6" spans="1:55" ht="30.75" customHeight="1">
      <c r="B6" s="207"/>
      <c r="C6" s="208"/>
      <c r="D6" s="208"/>
      <c r="E6" s="208"/>
      <c r="F6" s="208"/>
      <c r="G6" s="208"/>
      <c r="H6" s="208"/>
      <c r="I6" s="208"/>
      <c r="J6" s="208"/>
      <c r="K6" s="208"/>
      <c r="L6" s="230"/>
      <c r="M6" s="230"/>
      <c r="N6" s="230"/>
      <c r="O6" s="230"/>
      <c r="P6" s="230"/>
      <c r="Q6" s="230"/>
      <c r="R6" s="230"/>
      <c r="S6" s="230"/>
      <c r="T6" s="230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7"/>
    </row>
    <row r="7" spans="1:55">
      <c r="B7" s="48"/>
      <c r="C7" s="222"/>
      <c r="D7" s="222"/>
      <c r="E7" s="222"/>
      <c r="F7" s="222"/>
      <c r="G7" s="222"/>
      <c r="H7" s="222"/>
      <c r="I7" s="222"/>
      <c r="J7" s="222"/>
      <c r="K7" s="222"/>
      <c r="L7" s="222"/>
      <c r="M7" s="222"/>
      <c r="N7" s="222"/>
      <c r="O7" s="222"/>
      <c r="P7" s="222"/>
      <c r="Q7" s="222"/>
      <c r="R7" s="222"/>
      <c r="S7" s="222"/>
      <c r="T7" s="222"/>
      <c r="U7" s="222"/>
      <c r="V7" s="222"/>
      <c r="W7" s="222"/>
      <c r="X7" s="222"/>
      <c r="Y7" s="222"/>
      <c r="Z7" s="222"/>
      <c r="AA7" s="222"/>
      <c r="AB7" s="222"/>
      <c r="AC7" s="222"/>
      <c r="AD7" s="222"/>
      <c r="AE7" s="222"/>
      <c r="AF7" s="222"/>
      <c r="AG7" s="222"/>
      <c r="AH7" s="222"/>
      <c r="AI7" s="222"/>
      <c r="AJ7" s="222"/>
      <c r="AK7" s="222"/>
      <c r="AL7" s="222"/>
      <c r="AM7" s="222"/>
      <c r="AN7" s="222"/>
      <c r="AO7" s="222"/>
      <c r="AP7" s="222"/>
      <c r="AQ7" s="222"/>
      <c r="AR7" s="222"/>
      <c r="AS7" s="222"/>
      <c r="AT7" s="222"/>
      <c r="AU7" s="222"/>
      <c r="AV7" s="222"/>
      <c r="AW7" s="222"/>
      <c r="AX7" s="222"/>
      <c r="AY7" s="222"/>
      <c r="AZ7" s="222"/>
      <c r="BA7" s="222"/>
      <c r="BB7" s="49"/>
    </row>
    <row r="8" spans="1:55">
      <c r="B8" s="48"/>
      <c r="C8" s="222"/>
      <c r="D8" s="222"/>
      <c r="E8" s="222"/>
      <c r="F8" s="222"/>
      <c r="G8" s="222"/>
      <c r="H8" s="222"/>
      <c r="I8" s="222"/>
      <c r="J8" s="222"/>
      <c r="K8" s="222"/>
      <c r="L8" s="222"/>
      <c r="M8" s="222"/>
      <c r="N8" s="222"/>
      <c r="O8" s="222"/>
      <c r="P8" s="222"/>
      <c r="Q8" s="222"/>
      <c r="R8" s="222"/>
      <c r="S8" s="222"/>
      <c r="T8" s="222"/>
      <c r="U8" s="222"/>
      <c r="V8" s="222"/>
      <c r="W8" s="222"/>
      <c r="X8" s="222"/>
      <c r="Y8" s="222"/>
      <c r="Z8" s="222"/>
      <c r="AA8" s="222"/>
      <c r="AB8" s="222"/>
      <c r="AC8" s="222"/>
      <c r="AD8" s="222"/>
      <c r="AE8" s="222"/>
      <c r="AF8" s="222"/>
      <c r="AG8" s="222"/>
      <c r="AH8" s="222"/>
      <c r="AI8" s="222"/>
      <c r="AJ8" s="222"/>
      <c r="AK8" s="222"/>
      <c r="AL8" s="222"/>
      <c r="AM8" s="222"/>
      <c r="AN8" s="222"/>
      <c r="AO8" s="222"/>
      <c r="AP8" s="222"/>
      <c r="AQ8" s="222"/>
      <c r="AR8" s="222"/>
      <c r="AS8" s="222"/>
      <c r="AT8" s="222"/>
      <c r="AU8" s="222"/>
      <c r="AV8" s="222"/>
      <c r="AW8" s="222"/>
      <c r="AX8" s="222"/>
      <c r="AY8" s="222"/>
      <c r="AZ8" s="222"/>
      <c r="BA8" s="222"/>
      <c r="BB8" s="49"/>
    </row>
    <row r="9" spans="1:55">
      <c r="B9" s="48"/>
      <c r="C9" s="222"/>
      <c r="D9" s="222"/>
      <c r="E9" s="222"/>
      <c r="F9" s="222"/>
      <c r="G9" s="222"/>
      <c r="H9" s="222"/>
      <c r="I9" s="222"/>
      <c r="J9" s="222"/>
      <c r="K9" s="222"/>
      <c r="L9" s="222"/>
      <c r="M9" s="222"/>
      <c r="N9" s="222"/>
      <c r="O9" s="222"/>
      <c r="P9" s="222"/>
      <c r="Q9" s="222"/>
      <c r="R9" s="222"/>
      <c r="S9" s="222"/>
      <c r="T9" s="222"/>
      <c r="U9" s="222"/>
      <c r="V9" s="222"/>
      <c r="W9" s="222"/>
      <c r="X9" s="222"/>
      <c r="Y9" s="222"/>
      <c r="Z9" s="222"/>
      <c r="AA9" s="222"/>
      <c r="AB9" s="222"/>
      <c r="AC9" s="222"/>
      <c r="AD9" s="222"/>
      <c r="AE9" s="222"/>
      <c r="AF9" s="222"/>
      <c r="AG9" s="222"/>
      <c r="AH9" s="222"/>
      <c r="AI9" s="222"/>
      <c r="AJ9" s="222"/>
      <c r="AK9" s="222"/>
      <c r="AL9" s="222"/>
      <c r="AM9" s="222"/>
      <c r="AN9" s="222"/>
      <c r="AO9" s="222"/>
      <c r="AP9" s="222"/>
      <c r="AQ9" s="222"/>
      <c r="AR9" s="222"/>
      <c r="AS9" s="222"/>
      <c r="AT9" s="222"/>
      <c r="AU9" s="222"/>
      <c r="AV9" s="222"/>
      <c r="AW9" s="222"/>
      <c r="AX9" s="222"/>
      <c r="AY9" s="222"/>
      <c r="AZ9" s="222"/>
      <c r="BA9" s="222"/>
      <c r="BB9" s="49"/>
    </row>
    <row r="10" spans="1:55" ht="15.75" customHeight="1">
      <c r="B10" s="48"/>
      <c r="C10" s="222"/>
      <c r="D10" s="222"/>
      <c r="E10" s="222"/>
      <c r="F10" s="223"/>
      <c r="G10" s="223"/>
      <c r="H10" s="223"/>
      <c r="I10" s="223"/>
      <c r="J10" s="223"/>
      <c r="K10" s="223"/>
      <c r="L10" s="223"/>
      <c r="M10" s="223"/>
      <c r="N10" s="223"/>
      <c r="O10" s="223"/>
      <c r="P10" s="223"/>
      <c r="Q10" s="223"/>
      <c r="R10" s="223"/>
      <c r="S10" s="223"/>
      <c r="T10" s="223"/>
      <c r="U10" s="223"/>
      <c r="V10" s="223"/>
      <c r="W10" s="223"/>
      <c r="X10" s="223"/>
      <c r="Y10" s="223"/>
      <c r="Z10" s="223"/>
      <c r="AA10" s="222"/>
      <c r="AB10" s="222"/>
      <c r="AC10" s="224"/>
      <c r="AD10" s="224"/>
      <c r="AE10" s="224"/>
      <c r="AF10" s="224"/>
      <c r="AG10" s="224"/>
      <c r="AH10" s="224"/>
      <c r="AI10" s="224"/>
      <c r="AJ10" s="224"/>
      <c r="AK10" s="224"/>
      <c r="AL10" s="224"/>
      <c r="AM10" s="224"/>
      <c r="AN10" s="224"/>
      <c r="AO10" s="224"/>
      <c r="AP10" s="224"/>
      <c r="AQ10" s="224"/>
      <c r="AR10" s="224"/>
      <c r="AS10" s="224"/>
      <c r="AT10" s="224"/>
      <c r="AU10" s="224"/>
      <c r="AV10" s="224"/>
      <c r="AW10" s="224"/>
      <c r="AX10" s="222"/>
      <c r="AY10" s="222"/>
      <c r="AZ10" s="222"/>
      <c r="BA10" s="222"/>
      <c r="BB10" s="49"/>
    </row>
    <row r="11" spans="1:55" ht="15.75" customHeight="1">
      <c r="B11" s="48"/>
      <c r="C11" s="222"/>
      <c r="D11" s="222"/>
      <c r="E11" s="222"/>
      <c r="F11" s="223"/>
      <c r="G11" s="223"/>
      <c r="H11" s="223"/>
      <c r="I11" s="223"/>
      <c r="J11" s="223"/>
      <c r="K11" s="223"/>
      <c r="L11" s="223"/>
      <c r="M11" s="223"/>
      <c r="N11" s="223"/>
      <c r="O11" s="223"/>
      <c r="P11" s="223"/>
      <c r="Q11" s="223"/>
      <c r="R11" s="223"/>
      <c r="S11" s="223"/>
      <c r="T11" s="223"/>
      <c r="U11" s="223"/>
      <c r="V11" s="223"/>
      <c r="W11" s="223"/>
      <c r="X11" s="223"/>
      <c r="Y11" s="223"/>
      <c r="Z11" s="223"/>
      <c r="AA11" s="222"/>
      <c r="AB11" s="222"/>
      <c r="AC11" s="224"/>
      <c r="AD11" s="224"/>
      <c r="AE11" s="224"/>
      <c r="AF11" s="224"/>
      <c r="AG11" s="224"/>
      <c r="AH11" s="224"/>
      <c r="AI11" s="224"/>
      <c r="AJ11" s="224"/>
      <c r="AK11" s="224"/>
      <c r="AL11" s="224"/>
      <c r="AM11" s="224"/>
      <c r="AN11" s="224"/>
      <c r="AO11" s="224"/>
      <c r="AP11" s="224"/>
      <c r="AQ11" s="224"/>
      <c r="AR11" s="224"/>
      <c r="AS11" s="224"/>
      <c r="AT11" s="224"/>
      <c r="AU11" s="224"/>
      <c r="AV11" s="224"/>
      <c r="AW11" s="224"/>
      <c r="AX11" s="222"/>
      <c r="AY11" s="222"/>
      <c r="AZ11" s="222"/>
      <c r="BA11" s="222"/>
      <c r="BB11" s="49"/>
    </row>
    <row r="12" spans="1:55">
      <c r="B12" s="48"/>
      <c r="C12" s="222"/>
      <c r="D12" s="222"/>
      <c r="E12" s="222"/>
      <c r="F12" s="222"/>
      <c r="G12" s="222"/>
      <c r="H12" s="222"/>
      <c r="I12" s="222"/>
      <c r="J12" s="222"/>
      <c r="K12" s="222"/>
      <c r="L12" s="222"/>
      <c r="M12" s="222"/>
      <c r="N12" s="222"/>
      <c r="O12" s="222"/>
      <c r="P12" s="222"/>
      <c r="Q12" s="222"/>
      <c r="R12" s="222"/>
      <c r="S12" s="222"/>
      <c r="T12" s="222"/>
      <c r="U12" s="222"/>
      <c r="V12" s="222"/>
      <c r="W12" s="222"/>
      <c r="X12" s="222"/>
      <c r="Y12" s="222"/>
      <c r="Z12" s="222"/>
      <c r="AA12" s="222"/>
      <c r="AB12" s="222"/>
      <c r="AC12" s="222"/>
      <c r="AD12" s="222"/>
      <c r="AE12" s="222"/>
      <c r="AF12" s="222"/>
      <c r="AG12" s="222"/>
      <c r="AH12" s="222"/>
      <c r="AI12" s="222"/>
      <c r="AJ12" s="222"/>
      <c r="AK12" s="222"/>
      <c r="AL12" s="222"/>
      <c r="AM12" s="222"/>
      <c r="AN12" s="222"/>
      <c r="AO12" s="222"/>
      <c r="AP12" s="222"/>
      <c r="AQ12" s="222"/>
      <c r="AR12" s="222"/>
      <c r="AS12" s="222"/>
      <c r="AT12" s="222"/>
      <c r="AU12" s="222"/>
      <c r="AV12" s="222"/>
      <c r="AW12" s="222"/>
      <c r="AX12" s="222"/>
      <c r="AY12" s="222"/>
      <c r="AZ12" s="222"/>
      <c r="BA12" s="222"/>
      <c r="BB12" s="49"/>
    </row>
    <row r="13" spans="1:55">
      <c r="B13" s="48"/>
      <c r="C13" s="222"/>
      <c r="D13" s="222"/>
      <c r="E13" s="222"/>
      <c r="F13" s="222"/>
      <c r="G13" s="222"/>
      <c r="H13" s="222"/>
      <c r="I13" s="222"/>
      <c r="J13" s="222"/>
      <c r="K13" s="222"/>
      <c r="L13" s="222"/>
      <c r="M13" s="222"/>
      <c r="N13" s="222"/>
      <c r="O13" s="222"/>
      <c r="P13" s="222"/>
      <c r="Q13" s="222"/>
      <c r="R13" s="222"/>
      <c r="S13" s="222"/>
      <c r="T13" s="222"/>
      <c r="U13" s="222"/>
      <c r="V13" s="222"/>
      <c r="W13" s="222"/>
      <c r="X13" s="222"/>
      <c r="Y13" s="222"/>
      <c r="Z13" s="222"/>
      <c r="AA13" s="222"/>
      <c r="AB13" s="222"/>
      <c r="AC13" s="222"/>
      <c r="AD13" s="222"/>
      <c r="AE13" s="222"/>
      <c r="AF13" s="222"/>
      <c r="AG13" s="222"/>
      <c r="AH13" s="222"/>
      <c r="AI13" s="222"/>
      <c r="AJ13" s="222"/>
      <c r="AK13" s="222"/>
      <c r="AL13" s="222"/>
      <c r="AM13" s="222"/>
      <c r="AN13" s="222"/>
      <c r="AO13" s="222"/>
      <c r="AP13" s="222"/>
      <c r="AQ13" s="222"/>
      <c r="AR13" s="222"/>
      <c r="AS13" s="222"/>
      <c r="AT13" s="222"/>
      <c r="AU13" s="222"/>
      <c r="AV13" s="222"/>
      <c r="AW13" s="222"/>
      <c r="AX13" s="222"/>
      <c r="AY13" s="222"/>
      <c r="AZ13" s="222"/>
      <c r="BA13" s="222"/>
      <c r="BB13" s="49"/>
    </row>
    <row r="14" spans="1:55">
      <c r="B14" s="48"/>
      <c r="C14" s="222"/>
      <c r="D14" s="222"/>
      <c r="E14" s="222"/>
      <c r="F14" s="222"/>
      <c r="G14" s="222"/>
      <c r="H14" s="222"/>
      <c r="I14" s="222"/>
      <c r="J14" s="222"/>
      <c r="K14" s="222"/>
      <c r="L14" s="222"/>
      <c r="M14" s="222"/>
      <c r="N14" s="222"/>
      <c r="O14" s="222"/>
      <c r="P14" s="222"/>
      <c r="Q14" s="222"/>
      <c r="R14" s="222"/>
      <c r="S14" s="222"/>
      <c r="T14" s="222"/>
      <c r="U14" s="222"/>
      <c r="V14" s="222"/>
      <c r="W14" s="222"/>
      <c r="X14" s="222"/>
      <c r="Y14" s="222"/>
      <c r="Z14" s="222"/>
      <c r="AA14" s="222"/>
      <c r="AB14" s="222"/>
      <c r="AC14" s="222"/>
      <c r="AD14" s="222"/>
      <c r="AE14" s="222"/>
      <c r="AF14" s="222"/>
      <c r="AG14" s="222"/>
      <c r="AH14" s="222"/>
      <c r="AI14" s="222"/>
      <c r="AJ14" s="222"/>
      <c r="AK14" s="222"/>
      <c r="AL14" s="222"/>
      <c r="AM14" s="222"/>
      <c r="AN14" s="222"/>
      <c r="AO14" s="222"/>
      <c r="AP14" s="222"/>
      <c r="AQ14" s="222"/>
      <c r="AR14" s="222"/>
      <c r="AS14" s="222"/>
      <c r="AT14" s="222"/>
      <c r="AU14" s="222"/>
      <c r="AV14" s="222"/>
      <c r="AW14" s="222"/>
      <c r="AX14" s="222"/>
      <c r="AY14" s="222"/>
      <c r="AZ14" s="222"/>
      <c r="BA14" s="222"/>
      <c r="BB14" s="49"/>
    </row>
    <row r="15" spans="1:55">
      <c r="B15" s="48"/>
      <c r="C15" s="222"/>
      <c r="D15" s="222"/>
      <c r="E15" s="222"/>
      <c r="F15" s="222"/>
      <c r="G15" s="222"/>
      <c r="H15" s="222"/>
      <c r="I15" s="222"/>
      <c r="J15" s="222"/>
      <c r="K15" s="222"/>
      <c r="L15" s="222"/>
      <c r="M15" s="222"/>
      <c r="N15" s="222"/>
      <c r="O15" s="222"/>
      <c r="P15" s="222"/>
      <c r="Q15" s="222"/>
      <c r="R15" s="222"/>
      <c r="S15" s="222"/>
      <c r="T15" s="222"/>
      <c r="U15" s="222"/>
      <c r="V15" s="222"/>
      <c r="W15" s="222"/>
      <c r="X15" s="222"/>
      <c r="Y15" s="222"/>
      <c r="Z15" s="222"/>
      <c r="AA15" s="222"/>
      <c r="AB15" s="222"/>
      <c r="AC15" s="222"/>
      <c r="AD15" s="222"/>
      <c r="AE15" s="222"/>
      <c r="AF15" s="222"/>
      <c r="AG15" s="222"/>
      <c r="AH15" s="222"/>
      <c r="AI15" s="222"/>
      <c r="AJ15" s="222"/>
      <c r="AK15" s="222"/>
      <c r="AL15" s="222"/>
      <c r="AM15" s="222"/>
      <c r="AN15" s="222"/>
      <c r="AO15" s="222"/>
      <c r="AP15" s="222"/>
      <c r="AQ15" s="222"/>
      <c r="AR15" s="222"/>
      <c r="AS15" s="222"/>
      <c r="AT15" s="222"/>
      <c r="AU15" s="222"/>
      <c r="AV15" s="222"/>
      <c r="AW15" s="222"/>
      <c r="AX15" s="222"/>
      <c r="AY15" s="222"/>
      <c r="AZ15" s="222"/>
      <c r="BA15" s="222"/>
      <c r="BB15" s="49"/>
    </row>
    <row r="16" spans="1:55">
      <c r="B16" s="48"/>
      <c r="C16" s="222"/>
      <c r="D16" s="222"/>
      <c r="E16" s="222"/>
      <c r="F16" s="222"/>
      <c r="G16" s="222"/>
      <c r="H16" s="222"/>
      <c r="I16" s="222"/>
      <c r="J16" s="222"/>
      <c r="K16" s="222"/>
      <c r="L16" s="222"/>
      <c r="M16" s="222"/>
      <c r="N16" s="222"/>
      <c r="O16" s="222"/>
      <c r="P16" s="222"/>
      <c r="Q16" s="222"/>
      <c r="R16" s="222"/>
      <c r="S16" s="222"/>
      <c r="T16" s="222"/>
      <c r="U16" s="222"/>
      <c r="V16" s="222"/>
      <c r="W16" s="222"/>
      <c r="X16" s="222"/>
      <c r="Y16" s="222"/>
      <c r="Z16" s="222"/>
      <c r="AA16" s="222"/>
      <c r="AB16" s="222"/>
      <c r="AC16" s="222"/>
      <c r="AD16" s="222"/>
      <c r="AE16" s="222"/>
      <c r="AF16" s="222"/>
      <c r="AG16" s="222"/>
      <c r="AH16" s="222"/>
      <c r="AI16" s="222"/>
      <c r="AJ16" s="222"/>
      <c r="AK16" s="222"/>
      <c r="AL16" s="222"/>
      <c r="AM16" s="222"/>
      <c r="AN16" s="222"/>
      <c r="AO16" s="222"/>
      <c r="AP16" s="222"/>
      <c r="AQ16" s="222"/>
      <c r="AR16" s="222"/>
      <c r="AS16" s="222"/>
      <c r="AT16" s="222"/>
      <c r="AU16" s="222"/>
      <c r="AV16" s="222"/>
      <c r="AW16" s="222"/>
      <c r="AX16" s="222"/>
      <c r="AY16" s="222"/>
      <c r="AZ16" s="222"/>
      <c r="BA16" s="222"/>
      <c r="BB16" s="49"/>
    </row>
    <row r="17" spans="2:54">
      <c r="B17" s="48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2"/>
      <c r="O17" s="222"/>
      <c r="P17" s="222"/>
      <c r="Q17" s="222"/>
      <c r="R17" s="222"/>
      <c r="S17" s="222"/>
      <c r="T17" s="222"/>
      <c r="U17" s="222"/>
      <c r="V17" s="222"/>
      <c r="W17" s="222"/>
      <c r="X17" s="222"/>
      <c r="Y17" s="222"/>
      <c r="Z17" s="222"/>
      <c r="AA17" s="222"/>
      <c r="AB17" s="222"/>
      <c r="AC17" s="222"/>
      <c r="AD17" s="222"/>
      <c r="AE17" s="222"/>
      <c r="AF17" s="222"/>
      <c r="AG17" s="222"/>
      <c r="AH17" s="222"/>
      <c r="AI17" s="222"/>
      <c r="AJ17" s="222"/>
      <c r="AK17" s="222"/>
      <c r="AL17" s="222"/>
      <c r="AM17" s="222"/>
      <c r="AN17" s="222"/>
      <c r="AO17" s="222"/>
      <c r="AP17" s="222"/>
      <c r="AQ17" s="222"/>
      <c r="AR17" s="222"/>
      <c r="AS17" s="222"/>
      <c r="AT17" s="222"/>
      <c r="AU17" s="222"/>
      <c r="AV17" s="222"/>
      <c r="AW17" s="222"/>
      <c r="AX17" s="222"/>
      <c r="AY17" s="222"/>
      <c r="AZ17" s="222"/>
      <c r="BA17" s="222"/>
      <c r="BB17" s="49"/>
    </row>
    <row r="18" spans="2:54">
      <c r="B18" s="48"/>
      <c r="C18" s="222"/>
      <c r="D18" s="222"/>
      <c r="E18" s="222"/>
      <c r="F18" s="222"/>
      <c r="G18" s="222"/>
      <c r="H18" s="222"/>
      <c r="I18" s="222"/>
      <c r="J18" s="222"/>
      <c r="K18" s="222"/>
      <c r="L18" s="222"/>
      <c r="M18" s="222"/>
      <c r="N18" s="222"/>
      <c r="O18" s="222"/>
      <c r="P18" s="222"/>
      <c r="Q18" s="222"/>
      <c r="R18" s="222"/>
      <c r="S18" s="222"/>
      <c r="T18" s="222"/>
      <c r="U18" s="222"/>
      <c r="V18" s="222"/>
      <c r="W18" s="222"/>
      <c r="X18" s="222"/>
      <c r="Y18" s="222"/>
      <c r="Z18" s="222"/>
      <c r="AA18" s="222"/>
      <c r="AB18" s="222"/>
      <c r="AC18" s="222"/>
      <c r="AD18" s="222"/>
      <c r="AE18" s="222"/>
      <c r="AF18" s="222"/>
      <c r="AG18" s="222"/>
      <c r="AH18" s="222"/>
      <c r="AI18" s="222"/>
      <c r="AJ18" s="222"/>
      <c r="AK18" s="222"/>
      <c r="AL18" s="222"/>
      <c r="AM18" s="222"/>
      <c r="AN18" s="222"/>
      <c r="AO18" s="222"/>
      <c r="AP18" s="222"/>
      <c r="AQ18" s="222"/>
      <c r="AR18" s="222"/>
      <c r="AS18" s="222"/>
      <c r="AT18" s="222"/>
      <c r="AU18" s="222"/>
      <c r="AV18" s="222"/>
      <c r="AW18" s="222"/>
      <c r="AX18" s="222"/>
      <c r="AY18" s="222"/>
      <c r="AZ18" s="222"/>
      <c r="BA18" s="222"/>
      <c r="BB18" s="49"/>
    </row>
    <row r="19" spans="2:54">
      <c r="B19" s="48"/>
      <c r="C19" s="222"/>
      <c r="D19" s="222"/>
      <c r="E19" s="222"/>
      <c r="F19" s="222"/>
      <c r="G19" s="222"/>
      <c r="H19" s="222"/>
      <c r="I19" s="222"/>
      <c r="J19" s="222"/>
      <c r="K19" s="222"/>
      <c r="L19" s="222"/>
      <c r="M19" s="222"/>
      <c r="N19" s="222"/>
      <c r="O19" s="222"/>
      <c r="P19" s="222"/>
      <c r="Q19" s="222"/>
      <c r="R19" s="222"/>
      <c r="S19" s="222"/>
      <c r="T19" s="222"/>
      <c r="U19" s="222"/>
      <c r="V19" s="222"/>
      <c r="W19" s="222"/>
      <c r="X19" s="222"/>
      <c r="Y19" s="222"/>
      <c r="Z19" s="222"/>
      <c r="AA19" s="222"/>
      <c r="AB19" s="222"/>
      <c r="AC19" s="222"/>
      <c r="AD19" s="222"/>
      <c r="AE19" s="222"/>
      <c r="AF19" s="222"/>
      <c r="AG19" s="222"/>
      <c r="AH19" s="222"/>
      <c r="AI19" s="222"/>
      <c r="AJ19" s="222"/>
      <c r="AK19" s="222"/>
      <c r="AL19" s="222"/>
      <c r="AM19" s="222"/>
      <c r="AN19" s="222"/>
      <c r="AO19" s="222"/>
      <c r="AP19" s="222"/>
      <c r="AQ19" s="222"/>
      <c r="AR19" s="222"/>
      <c r="AS19" s="222"/>
      <c r="AT19" s="222"/>
      <c r="AU19" s="222"/>
      <c r="AV19" s="222"/>
      <c r="AW19" s="222"/>
      <c r="AX19" s="222"/>
      <c r="AY19" s="222"/>
      <c r="AZ19" s="222"/>
      <c r="BA19" s="222"/>
      <c r="BB19" s="49"/>
    </row>
    <row r="20" spans="2:54">
      <c r="B20" s="48"/>
      <c r="C20" s="222"/>
      <c r="D20" s="222"/>
      <c r="E20" s="222"/>
      <c r="F20" s="222"/>
      <c r="G20" s="222"/>
      <c r="H20" s="222"/>
      <c r="I20" s="222"/>
      <c r="J20" s="222"/>
      <c r="K20" s="222"/>
      <c r="L20" s="222"/>
      <c r="M20" s="222"/>
      <c r="N20" s="222"/>
      <c r="O20" s="222"/>
      <c r="P20" s="222"/>
      <c r="Q20" s="222"/>
      <c r="R20" s="222"/>
      <c r="S20" s="222"/>
      <c r="T20" s="222"/>
      <c r="U20" s="222"/>
      <c r="V20" s="222"/>
      <c r="W20" s="222"/>
      <c r="X20" s="222"/>
      <c r="Y20" s="222"/>
      <c r="Z20" s="222"/>
      <c r="AA20" s="222"/>
      <c r="AB20" s="222"/>
      <c r="AC20" s="222"/>
      <c r="AD20" s="222"/>
      <c r="AE20" s="222"/>
      <c r="AF20" s="222"/>
      <c r="AG20" s="222"/>
      <c r="AH20" s="222"/>
      <c r="AI20" s="222"/>
      <c r="AJ20" s="222"/>
      <c r="AK20" s="222"/>
      <c r="AL20" s="222"/>
      <c r="AM20" s="222"/>
      <c r="AN20" s="222"/>
      <c r="AO20" s="222"/>
      <c r="AP20" s="222"/>
      <c r="AQ20" s="222"/>
      <c r="AR20" s="222"/>
      <c r="AS20" s="222"/>
      <c r="AT20" s="222"/>
      <c r="AU20" s="222"/>
      <c r="AV20" s="222"/>
      <c r="AW20" s="222"/>
      <c r="AX20" s="222"/>
      <c r="AY20" s="222"/>
      <c r="AZ20" s="222"/>
      <c r="BA20" s="222"/>
      <c r="BB20" s="49"/>
    </row>
    <row r="21" spans="2:54" ht="15.75" customHeight="1">
      <c r="B21" s="48"/>
      <c r="C21" s="222"/>
      <c r="D21" s="222"/>
      <c r="E21" s="222"/>
      <c r="F21" s="222"/>
      <c r="G21" s="222"/>
      <c r="H21" s="222"/>
      <c r="I21" s="222"/>
      <c r="J21" s="222"/>
      <c r="K21" s="225"/>
      <c r="L21" s="225"/>
      <c r="M21" s="225"/>
      <c r="N21" s="225"/>
      <c r="O21" s="225"/>
      <c r="P21" s="225"/>
      <c r="Q21" s="225"/>
      <c r="R21" s="225"/>
      <c r="S21" s="225"/>
      <c r="T21" s="225"/>
      <c r="U21" s="225"/>
      <c r="V21" s="225"/>
      <c r="W21" s="225"/>
      <c r="X21" s="225"/>
      <c r="Y21" s="225"/>
      <c r="Z21" s="225"/>
      <c r="AA21" s="225"/>
      <c r="AB21" s="225"/>
      <c r="AC21" s="225"/>
      <c r="AD21" s="225"/>
      <c r="AE21" s="226"/>
      <c r="AF21" s="226"/>
      <c r="AG21" s="226"/>
      <c r="AH21" s="226"/>
      <c r="AI21" s="226"/>
      <c r="AJ21" s="226"/>
      <c r="AK21" s="226"/>
      <c r="AL21" s="226"/>
      <c r="AM21" s="225"/>
      <c r="AN21" s="225"/>
      <c r="AO21" s="225"/>
      <c r="AP21" s="225"/>
      <c r="AQ21" s="225"/>
      <c r="AR21" s="225"/>
      <c r="AS21" s="225"/>
      <c r="AT21" s="222"/>
      <c r="AU21" s="222"/>
      <c r="AV21" s="222"/>
      <c r="AW21" s="222"/>
      <c r="AX21" s="222"/>
      <c r="AY21" s="222"/>
      <c r="AZ21" s="222"/>
      <c r="BA21" s="222"/>
      <c r="BB21" s="49"/>
    </row>
    <row r="22" spans="2:54" ht="15.75" customHeight="1">
      <c r="B22" s="48"/>
      <c r="C22" s="222"/>
      <c r="D22" s="222"/>
      <c r="E22" s="222"/>
      <c r="F22" s="222"/>
      <c r="G22" s="222"/>
      <c r="H22" s="222"/>
      <c r="I22" s="222"/>
      <c r="J22" s="222"/>
      <c r="K22" s="225"/>
      <c r="L22" s="225"/>
      <c r="M22" s="225"/>
      <c r="N22" s="225"/>
      <c r="O22" s="225"/>
      <c r="P22" s="225"/>
      <c r="Q22" s="225"/>
      <c r="R22" s="225"/>
      <c r="S22" s="225"/>
      <c r="T22" s="225"/>
      <c r="U22" s="225"/>
      <c r="V22" s="225"/>
      <c r="W22" s="225"/>
      <c r="X22" s="225"/>
      <c r="Y22" s="225"/>
      <c r="Z22" s="225"/>
      <c r="AA22" s="225"/>
      <c r="AB22" s="225"/>
      <c r="AC22" s="225"/>
      <c r="AD22" s="225"/>
      <c r="AE22" s="226"/>
      <c r="AF22" s="226"/>
      <c r="AG22" s="226"/>
      <c r="AH22" s="226"/>
      <c r="AI22" s="226"/>
      <c r="AJ22" s="226"/>
      <c r="AK22" s="226"/>
      <c r="AL22" s="226"/>
      <c r="AM22" s="225"/>
      <c r="AN22" s="225"/>
      <c r="AO22" s="225"/>
      <c r="AP22" s="225"/>
      <c r="AQ22" s="225"/>
      <c r="AR22" s="225"/>
      <c r="AS22" s="225"/>
      <c r="AT22" s="222"/>
      <c r="AU22" s="222"/>
      <c r="AV22" s="222"/>
      <c r="AW22" s="222"/>
      <c r="AX22" s="222"/>
      <c r="AY22" s="222"/>
      <c r="AZ22" s="222"/>
      <c r="BA22" s="222"/>
      <c r="BB22" s="49"/>
    </row>
    <row r="23" spans="2:54" ht="15.75" customHeight="1">
      <c r="B23" s="48"/>
      <c r="C23" s="222"/>
      <c r="D23" s="222"/>
      <c r="E23" s="222"/>
      <c r="F23" s="222"/>
      <c r="G23" s="222"/>
      <c r="H23" s="222"/>
      <c r="I23" s="222"/>
      <c r="J23" s="222"/>
      <c r="K23" s="225"/>
      <c r="L23" s="225"/>
      <c r="M23" s="225"/>
      <c r="N23" s="225"/>
      <c r="O23" s="225"/>
      <c r="P23" s="225"/>
      <c r="Q23" s="225"/>
      <c r="R23" s="225"/>
      <c r="S23" s="225"/>
      <c r="T23" s="225"/>
      <c r="U23" s="225"/>
      <c r="V23" s="227"/>
      <c r="W23" s="227"/>
      <c r="X23" s="227"/>
      <c r="Y23" s="227"/>
      <c r="Z23" s="227"/>
      <c r="AA23" s="227"/>
      <c r="AB23" s="227"/>
      <c r="AC23" s="227"/>
      <c r="AD23" s="227"/>
      <c r="AE23" s="226"/>
      <c r="AF23" s="228"/>
      <c r="AG23" s="228"/>
      <c r="AH23" s="228"/>
      <c r="AI23" s="228"/>
      <c r="AJ23" s="228"/>
      <c r="AK23" s="228"/>
      <c r="AL23" s="228"/>
      <c r="AM23" s="225"/>
      <c r="AN23" s="225"/>
      <c r="AO23" s="225"/>
      <c r="AP23" s="225"/>
      <c r="AQ23" s="225"/>
      <c r="AR23" s="225"/>
      <c r="AS23" s="225"/>
      <c r="AT23" s="222"/>
      <c r="AU23" s="222"/>
      <c r="AV23" s="222"/>
      <c r="AW23" s="222"/>
      <c r="AX23" s="222"/>
      <c r="AY23" s="222"/>
      <c r="AZ23" s="222"/>
      <c r="BA23" s="222"/>
      <c r="BB23" s="49"/>
    </row>
    <row r="24" spans="2:54" ht="15.75" customHeight="1">
      <c r="B24" s="48"/>
      <c r="C24" s="222"/>
      <c r="D24" s="222"/>
      <c r="E24" s="222"/>
      <c r="F24" s="222"/>
      <c r="G24" s="222"/>
      <c r="H24" s="222"/>
      <c r="I24" s="222"/>
      <c r="J24" s="222"/>
      <c r="K24" s="225"/>
      <c r="L24" s="225"/>
      <c r="M24" s="225"/>
      <c r="N24" s="225"/>
      <c r="O24" s="225"/>
      <c r="P24" s="225"/>
      <c r="Q24" s="225"/>
      <c r="R24" s="225"/>
      <c r="S24" s="225"/>
      <c r="T24" s="225"/>
      <c r="U24" s="227"/>
      <c r="V24" s="227"/>
      <c r="W24" s="227"/>
      <c r="X24" s="227"/>
      <c r="Y24" s="227"/>
      <c r="Z24" s="227"/>
      <c r="AA24" s="227"/>
      <c r="AB24" s="227"/>
      <c r="AC24" s="227"/>
      <c r="AD24" s="227"/>
      <c r="AE24" s="228"/>
      <c r="AF24" s="228"/>
      <c r="AG24" s="228"/>
      <c r="AH24" s="228"/>
      <c r="AI24" s="228"/>
      <c r="AJ24" s="228"/>
      <c r="AK24" s="228"/>
      <c r="AL24" s="228"/>
      <c r="AM24" s="225"/>
      <c r="AN24" s="225"/>
      <c r="AO24" s="225"/>
      <c r="AP24" s="225"/>
      <c r="AQ24" s="225"/>
      <c r="AR24" s="225"/>
      <c r="AS24" s="225"/>
      <c r="AT24" s="222"/>
      <c r="AU24" s="222"/>
      <c r="AV24" s="222"/>
      <c r="AW24" s="222"/>
      <c r="AX24" s="222"/>
      <c r="AY24" s="222"/>
      <c r="AZ24" s="222"/>
      <c r="BA24" s="222"/>
      <c r="BB24" s="49"/>
    </row>
    <row r="25" spans="2:54" ht="15.75" customHeight="1">
      <c r="B25" s="48"/>
      <c r="C25" s="222"/>
      <c r="D25" s="222"/>
      <c r="E25" s="222"/>
      <c r="F25" s="222"/>
      <c r="G25" s="222"/>
      <c r="H25" s="222"/>
      <c r="I25" s="222"/>
      <c r="J25" s="222"/>
      <c r="K25" s="225"/>
      <c r="L25" s="225"/>
      <c r="M25" s="225"/>
      <c r="N25" s="225"/>
      <c r="O25" s="225"/>
      <c r="P25" s="225"/>
      <c r="Q25" s="225"/>
      <c r="R25" s="225"/>
      <c r="S25" s="225"/>
      <c r="T25" s="225"/>
      <c r="U25" s="225"/>
      <c r="V25" s="227"/>
      <c r="W25" s="227"/>
      <c r="X25" s="227"/>
      <c r="Y25" s="227"/>
      <c r="Z25" s="227"/>
      <c r="AA25" s="227"/>
      <c r="AB25" s="227"/>
      <c r="AC25" s="227"/>
      <c r="AD25" s="227"/>
      <c r="AE25" s="226"/>
      <c r="AF25" s="228"/>
      <c r="AG25" s="228"/>
      <c r="AH25" s="228"/>
      <c r="AI25" s="228"/>
      <c r="AJ25" s="228"/>
      <c r="AK25" s="228"/>
      <c r="AL25" s="228"/>
      <c r="AM25" s="225"/>
      <c r="AN25" s="225"/>
      <c r="AO25" s="225"/>
      <c r="AP25" s="225"/>
      <c r="AQ25" s="225"/>
      <c r="AR25" s="225"/>
      <c r="AS25" s="225"/>
      <c r="AT25" s="222"/>
      <c r="AU25" s="222"/>
      <c r="AV25" s="222"/>
      <c r="AW25" s="222"/>
      <c r="AX25" s="222"/>
      <c r="AY25" s="222"/>
      <c r="AZ25" s="222"/>
      <c r="BA25" s="222"/>
      <c r="BB25" s="49"/>
    </row>
    <row r="26" spans="2:54" ht="15.75" customHeight="1">
      <c r="B26" s="48"/>
      <c r="C26" s="222"/>
      <c r="D26" s="222"/>
      <c r="E26" s="222"/>
      <c r="F26" s="222"/>
      <c r="G26" s="222"/>
      <c r="H26" s="222"/>
      <c r="I26" s="222"/>
      <c r="J26" s="222"/>
      <c r="K26" s="225"/>
      <c r="L26" s="225"/>
      <c r="M26" s="225"/>
      <c r="N26" s="225"/>
      <c r="O26" s="225"/>
      <c r="P26" s="225"/>
      <c r="Q26" s="225"/>
      <c r="R26" s="225"/>
      <c r="S26" s="225"/>
      <c r="T26" s="225"/>
      <c r="U26" s="227"/>
      <c r="V26" s="227"/>
      <c r="W26" s="227"/>
      <c r="X26" s="227"/>
      <c r="Y26" s="227"/>
      <c r="Z26" s="227"/>
      <c r="AA26" s="227"/>
      <c r="AB26" s="227"/>
      <c r="AC26" s="227"/>
      <c r="AD26" s="227"/>
      <c r="AE26" s="228"/>
      <c r="AF26" s="228"/>
      <c r="AG26" s="228"/>
      <c r="AH26" s="228"/>
      <c r="AI26" s="228"/>
      <c r="AJ26" s="228"/>
      <c r="AK26" s="228"/>
      <c r="AL26" s="228"/>
      <c r="AM26" s="225"/>
      <c r="AN26" s="225"/>
      <c r="AO26" s="225"/>
      <c r="AP26" s="225"/>
      <c r="AQ26" s="225"/>
      <c r="AR26" s="225"/>
      <c r="AS26" s="225"/>
      <c r="AT26" s="222"/>
      <c r="AU26" s="222"/>
      <c r="AV26" s="222"/>
      <c r="AW26" s="222"/>
      <c r="AX26" s="222"/>
      <c r="AY26" s="222"/>
      <c r="AZ26" s="222"/>
      <c r="BA26" s="222"/>
      <c r="BB26" s="49"/>
    </row>
    <row r="27" spans="2:54" ht="25.5" customHeight="1">
      <c r="B27" s="48"/>
      <c r="C27" s="222"/>
      <c r="D27" s="222"/>
      <c r="E27" s="222"/>
      <c r="F27" s="222"/>
      <c r="G27" s="222"/>
      <c r="H27" s="222"/>
      <c r="I27" s="222"/>
      <c r="J27" s="222"/>
      <c r="K27" s="229"/>
      <c r="L27" s="222"/>
      <c r="M27" s="222"/>
      <c r="N27" s="222"/>
      <c r="O27" s="222"/>
      <c r="P27" s="222"/>
      <c r="Q27" s="222"/>
      <c r="R27" s="222"/>
      <c r="S27" s="222"/>
      <c r="T27" s="222"/>
      <c r="U27" s="222"/>
      <c r="V27" s="222"/>
      <c r="W27" s="222"/>
      <c r="X27" s="222"/>
      <c r="Y27" s="222"/>
      <c r="Z27" s="222"/>
      <c r="AA27" s="222"/>
      <c r="AB27" s="222"/>
      <c r="AC27" s="222"/>
      <c r="AD27" s="222"/>
      <c r="AE27" s="222"/>
      <c r="AF27" s="222"/>
      <c r="AG27" s="222"/>
      <c r="AH27" s="222"/>
      <c r="AI27" s="222"/>
      <c r="AJ27" s="222"/>
      <c r="AK27" s="222"/>
      <c r="AL27" s="222"/>
      <c r="AM27" s="222"/>
      <c r="AN27" s="222"/>
      <c r="AO27" s="222"/>
      <c r="AP27" s="222"/>
      <c r="AQ27" s="222"/>
      <c r="AR27" s="222"/>
      <c r="AS27" s="222"/>
      <c r="AT27" s="222"/>
      <c r="AU27" s="222"/>
      <c r="AV27" s="222"/>
      <c r="AW27" s="222"/>
      <c r="AX27" s="222"/>
      <c r="AY27" s="222"/>
      <c r="AZ27" s="222"/>
      <c r="BA27" s="222"/>
      <c r="BB27" s="49"/>
    </row>
    <row r="28" spans="2:54">
      <c r="B28" s="48"/>
      <c r="C28" s="222"/>
      <c r="D28" s="222"/>
      <c r="E28" s="222"/>
      <c r="F28" s="222"/>
      <c r="G28" s="222"/>
      <c r="H28" s="222"/>
      <c r="I28" s="222"/>
      <c r="J28" s="222"/>
      <c r="K28" s="222"/>
      <c r="L28" s="222"/>
      <c r="M28" s="222"/>
      <c r="N28" s="222"/>
      <c r="O28" s="222"/>
      <c r="P28" s="222"/>
      <c r="Q28" s="222"/>
      <c r="R28" s="222"/>
      <c r="S28" s="222"/>
      <c r="T28" s="222"/>
      <c r="U28" s="222"/>
      <c r="V28" s="222"/>
      <c r="W28" s="222"/>
      <c r="X28" s="222"/>
      <c r="Y28" s="222"/>
      <c r="Z28" s="222"/>
      <c r="AA28" s="222"/>
      <c r="AB28" s="222"/>
      <c r="AC28" s="222"/>
      <c r="AD28" s="222"/>
      <c r="AE28" s="222"/>
      <c r="AF28" s="222"/>
      <c r="AG28" s="222"/>
      <c r="AH28" s="222"/>
      <c r="AI28" s="222"/>
      <c r="AJ28" s="222"/>
      <c r="AK28" s="222"/>
      <c r="AL28" s="222"/>
      <c r="AM28" s="222"/>
      <c r="AN28" s="222"/>
      <c r="AO28" s="222"/>
      <c r="AP28" s="222"/>
      <c r="AQ28" s="222"/>
      <c r="AR28" s="222"/>
      <c r="AS28" s="222"/>
      <c r="AT28" s="222"/>
      <c r="AU28" s="222"/>
      <c r="AV28" s="222"/>
      <c r="AW28" s="222"/>
      <c r="AX28" s="222"/>
      <c r="AY28" s="222"/>
      <c r="AZ28" s="222"/>
      <c r="BA28" s="222"/>
      <c r="BB28" s="49"/>
    </row>
    <row r="29" spans="2:54">
      <c r="B29" s="48"/>
      <c r="C29" s="222"/>
      <c r="D29" s="222"/>
      <c r="E29" s="222"/>
      <c r="F29" s="222"/>
      <c r="G29" s="222"/>
      <c r="H29" s="222"/>
      <c r="I29" s="222"/>
      <c r="J29" s="222"/>
      <c r="K29" s="222"/>
      <c r="L29" s="222"/>
      <c r="M29" s="222"/>
      <c r="N29" s="222"/>
      <c r="O29" s="222"/>
      <c r="P29" s="222"/>
      <c r="Q29" s="222"/>
      <c r="R29" s="222"/>
      <c r="S29" s="222"/>
      <c r="T29" s="222"/>
      <c r="U29" s="222"/>
      <c r="V29" s="222"/>
      <c r="W29" s="222"/>
      <c r="X29" s="222"/>
      <c r="Y29" s="222"/>
      <c r="Z29" s="222"/>
      <c r="AA29" s="222"/>
      <c r="AB29" s="222"/>
      <c r="AC29" s="222"/>
      <c r="AD29" s="222"/>
      <c r="AE29" s="222"/>
      <c r="AF29" s="222"/>
      <c r="AG29" s="222"/>
      <c r="AH29" s="222"/>
      <c r="AI29" s="222"/>
      <c r="AJ29" s="222"/>
      <c r="AK29" s="222"/>
      <c r="AL29" s="222"/>
      <c r="AM29" s="222"/>
      <c r="AN29" s="222"/>
      <c r="AO29" s="222"/>
      <c r="AP29" s="222"/>
      <c r="AQ29" s="222"/>
      <c r="AR29" s="222"/>
      <c r="AS29" s="222"/>
      <c r="AT29" s="222"/>
      <c r="AU29" s="222"/>
      <c r="AV29" s="222"/>
      <c r="AW29" s="222"/>
      <c r="AX29" s="222"/>
      <c r="AY29" s="222"/>
      <c r="AZ29" s="222"/>
      <c r="BA29" s="222"/>
      <c r="BB29" s="49"/>
    </row>
    <row r="30" spans="2:54">
      <c r="B30" s="48"/>
      <c r="C30" s="222"/>
      <c r="D30" s="222"/>
      <c r="E30" s="222"/>
      <c r="F30" s="222"/>
      <c r="G30" s="222"/>
      <c r="H30" s="222"/>
      <c r="I30" s="222"/>
      <c r="J30" s="222"/>
      <c r="K30" s="222"/>
      <c r="L30" s="222"/>
      <c r="M30" s="222"/>
      <c r="N30" s="222"/>
      <c r="O30" s="222"/>
      <c r="P30" s="222"/>
      <c r="Q30" s="222"/>
      <c r="R30" s="222"/>
      <c r="S30" s="222"/>
      <c r="T30" s="222"/>
      <c r="U30" s="222"/>
      <c r="V30" s="222"/>
      <c r="W30" s="222"/>
      <c r="X30" s="222"/>
      <c r="Y30" s="222"/>
      <c r="Z30" s="222"/>
      <c r="AA30" s="222"/>
      <c r="AB30" s="222"/>
      <c r="AC30" s="222"/>
      <c r="AD30" s="222"/>
      <c r="AE30" s="222"/>
      <c r="AF30" s="222"/>
      <c r="AG30" s="222"/>
      <c r="AH30" s="222"/>
      <c r="AI30" s="222"/>
      <c r="AJ30" s="222"/>
      <c r="AK30" s="222"/>
      <c r="AL30" s="222"/>
      <c r="AM30" s="222"/>
      <c r="AN30" s="222"/>
      <c r="AO30" s="222"/>
      <c r="AP30" s="222"/>
      <c r="AQ30" s="222"/>
      <c r="AR30" s="222"/>
      <c r="AS30" s="222"/>
      <c r="AT30" s="222"/>
      <c r="AU30" s="222"/>
      <c r="AV30" s="222"/>
      <c r="AW30" s="222"/>
      <c r="AX30" s="222"/>
      <c r="AY30" s="222"/>
      <c r="AZ30" s="222"/>
      <c r="BA30" s="222"/>
      <c r="BB30" s="49"/>
    </row>
    <row r="31" spans="2:54">
      <c r="B31" s="48"/>
      <c r="C31" s="222"/>
      <c r="D31" s="222"/>
      <c r="E31" s="222"/>
      <c r="F31" s="222"/>
      <c r="G31" s="222"/>
      <c r="H31" s="222"/>
      <c r="I31" s="222"/>
      <c r="J31" s="222"/>
      <c r="K31" s="222"/>
      <c r="L31" s="222"/>
      <c r="M31" s="222"/>
      <c r="N31" s="222"/>
      <c r="O31" s="222"/>
      <c r="P31" s="222"/>
      <c r="Q31" s="222"/>
      <c r="R31" s="222"/>
      <c r="S31" s="222"/>
      <c r="T31" s="222"/>
      <c r="U31" s="222"/>
      <c r="V31" s="222"/>
      <c r="W31" s="222"/>
      <c r="X31" s="222"/>
      <c r="Y31" s="222"/>
      <c r="Z31" s="222"/>
      <c r="AA31" s="222"/>
      <c r="AB31" s="222"/>
      <c r="AC31" s="222"/>
      <c r="AD31" s="222"/>
      <c r="AE31" s="222"/>
      <c r="AF31" s="222"/>
      <c r="AG31" s="222"/>
      <c r="AH31" s="222"/>
      <c r="AI31" s="222"/>
      <c r="AJ31" s="222"/>
      <c r="AK31" s="222"/>
      <c r="AL31" s="222"/>
      <c r="AM31" s="222"/>
      <c r="AN31" s="222"/>
      <c r="AO31" s="222"/>
      <c r="AP31" s="222"/>
      <c r="AQ31" s="222"/>
      <c r="AR31" s="222"/>
      <c r="AS31" s="222"/>
      <c r="AT31" s="222"/>
      <c r="AU31" s="222"/>
      <c r="AV31" s="222"/>
      <c r="AW31" s="222"/>
      <c r="AX31" s="222"/>
      <c r="AY31" s="222"/>
      <c r="AZ31" s="222"/>
      <c r="BA31" s="222"/>
      <c r="BB31" s="49"/>
    </row>
    <row r="32" spans="2:54">
      <c r="B32" s="48"/>
      <c r="C32" s="222"/>
      <c r="D32" s="222"/>
      <c r="E32" s="222"/>
      <c r="F32" s="222"/>
      <c r="G32" s="222"/>
      <c r="H32" s="222"/>
      <c r="I32" s="222"/>
      <c r="J32" s="222"/>
      <c r="K32" s="222"/>
      <c r="L32" s="222"/>
      <c r="M32" s="222"/>
      <c r="N32" s="222"/>
      <c r="O32" s="222"/>
      <c r="P32" s="222"/>
      <c r="Q32" s="222"/>
      <c r="R32" s="222"/>
      <c r="S32" s="222"/>
      <c r="T32" s="222"/>
      <c r="U32" s="222"/>
      <c r="V32" s="222"/>
      <c r="W32" s="222"/>
      <c r="X32" s="222"/>
      <c r="Y32" s="222"/>
      <c r="Z32" s="222"/>
      <c r="AA32" s="222"/>
      <c r="AB32" s="222"/>
      <c r="AC32" s="222"/>
      <c r="AD32" s="222"/>
      <c r="AE32" s="222"/>
      <c r="AF32" s="222"/>
      <c r="AG32" s="222"/>
      <c r="AH32" s="222"/>
      <c r="AI32" s="222"/>
      <c r="AJ32" s="222"/>
      <c r="AK32" s="222"/>
      <c r="AL32" s="222"/>
      <c r="AM32" s="222"/>
      <c r="AN32" s="222"/>
      <c r="AO32" s="222"/>
      <c r="AP32" s="222"/>
      <c r="AQ32" s="222"/>
      <c r="AR32" s="222"/>
      <c r="AS32" s="222"/>
      <c r="AT32" s="222"/>
      <c r="AU32" s="222"/>
      <c r="AV32" s="222"/>
      <c r="AW32" s="222"/>
      <c r="AX32" s="222"/>
      <c r="AY32" s="222"/>
      <c r="AZ32" s="222"/>
      <c r="BA32" s="222"/>
      <c r="BB32" s="49"/>
    </row>
    <row r="33" spans="2:54">
      <c r="B33" s="48"/>
      <c r="C33" s="222"/>
      <c r="D33" s="222"/>
      <c r="E33" s="222"/>
      <c r="F33" s="222"/>
      <c r="G33" s="222"/>
      <c r="H33" s="222"/>
      <c r="I33" s="222"/>
      <c r="J33" s="222"/>
      <c r="K33" s="222"/>
      <c r="L33" s="222"/>
      <c r="M33" s="222"/>
      <c r="N33" s="222"/>
      <c r="O33" s="222"/>
      <c r="P33" s="222"/>
      <c r="Q33" s="222"/>
      <c r="R33" s="222"/>
      <c r="S33" s="222"/>
      <c r="T33" s="222"/>
      <c r="U33" s="222"/>
      <c r="V33" s="222"/>
      <c r="W33" s="222"/>
      <c r="X33" s="222"/>
      <c r="Y33" s="222"/>
      <c r="Z33" s="222"/>
      <c r="AA33" s="222"/>
      <c r="AB33" s="222"/>
      <c r="AC33" s="222"/>
      <c r="AD33" s="222"/>
      <c r="AE33" s="222"/>
      <c r="AF33" s="222"/>
      <c r="AG33" s="222"/>
      <c r="AH33" s="222"/>
      <c r="AI33" s="222"/>
      <c r="AJ33" s="222"/>
      <c r="AK33" s="222"/>
      <c r="AL33" s="222"/>
      <c r="AM33" s="222"/>
      <c r="AN33" s="222"/>
      <c r="AO33" s="222"/>
      <c r="AP33" s="222"/>
      <c r="AQ33" s="222"/>
      <c r="AR33" s="222"/>
      <c r="AS33" s="222"/>
      <c r="AT33" s="222"/>
      <c r="AU33" s="222"/>
      <c r="AV33" s="222"/>
      <c r="AW33" s="222"/>
      <c r="AX33" s="222"/>
      <c r="AY33" s="222"/>
      <c r="AZ33" s="222"/>
      <c r="BA33" s="222"/>
      <c r="BB33" s="49"/>
    </row>
    <row r="34" spans="2:54">
      <c r="B34" s="48"/>
      <c r="C34" s="222"/>
      <c r="D34" s="222"/>
      <c r="E34" s="222"/>
      <c r="F34" s="222"/>
      <c r="G34" s="222"/>
      <c r="H34" s="222"/>
      <c r="I34" s="222"/>
      <c r="J34" s="222"/>
      <c r="K34" s="222"/>
      <c r="L34" s="222"/>
      <c r="M34" s="222"/>
      <c r="N34" s="222"/>
      <c r="O34" s="222"/>
      <c r="P34" s="222"/>
      <c r="Q34" s="222"/>
      <c r="R34" s="222"/>
      <c r="S34" s="222"/>
      <c r="T34" s="222"/>
      <c r="U34" s="222"/>
      <c r="V34" s="222"/>
      <c r="W34" s="222"/>
      <c r="X34" s="222"/>
      <c r="Y34" s="222"/>
      <c r="Z34" s="222"/>
      <c r="AA34" s="222"/>
      <c r="AB34" s="222"/>
      <c r="AC34" s="222"/>
      <c r="AD34" s="222"/>
      <c r="AE34" s="222"/>
      <c r="AF34" s="222"/>
      <c r="AG34" s="222"/>
      <c r="AH34" s="222"/>
      <c r="AI34" s="222"/>
      <c r="AJ34" s="222"/>
      <c r="AK34" s="222"/>
      <c r="AL34" s="222"/>
      <c r="AM34" s="222"/>
      <c r="AN34" s="222"/>
      <c r="AO34" s="222"/>
      <c r="AP34" s="222"/>
      <c r="AQ34" s="222"/>
      <c r="AR34" s="222"/>
      <c r="AS34" s="222"/>
      <c r="AT34" s="222"/>
      <c r="AU34" s="222"/>
      <c r="AV34" s="222"/>
      <c r="AW34" s="222"/>
      <c r="AX34" s="222"/>
      <c r="AY34" s="222"/>
      <c r="AZ34" s="222"/>
      <c r="BA34" s="222"/>
      <c r="BB34" s="49"/>
    </row>
    <row r="35" spans="2:54">
      <c r="B35" s="48"/>
      <c r="C35" s="222"/>
      <c r="D35" s="222"/>
      <c r="E35" s="222"/>
      <c r="F35" s="222"/>
      <c r="G35" s="222"/>
      <c r="H35" s="222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Y35" s="222"/>
      <c r="Z35" s="222"/>
      <c r="AA35" s="222"/>
      <c r="AB35" s="222"/>
      <c r="AC35" s="222"/>
      <c r="AD35" s="222"/>
      <c r="AE35" s="222"/>
      <c r="AF35" s="222"/>
      <c r="AG35" s="222"/>
      <c r="AH35" s="222"/>
      <c r="AI35" s="222"/>
      <c r="AJ35" s="222"/>
      <c r="AK35" s="222"/>
      <c r="AL35" s="222"/>
      <c r="AM35" s="222"/>
      <c r="AN35" s="222"/>
      <c r="AO35" s="222"/>
      <c r="AP35" s="222"/>
      <c r="AQ35" s="222"/>
      <c r="AR35" s="222"/>
      <c r="AS35" s="222"/>
      <c r="AT35" s="222"/>
      <c r="AU35" s="222"/>
      <c r="AV35" s="222"/>
      <c r="AW35" s="222"/>
      <c r="AX35" s="222"/>
      <c r="AY35" s="222"/>
      <c r="AZ35" s="222"/>
      <c r="BA35" s="222"/>
      <c r="BB35" s="49"/>
    </row>
    <row r="36" spans="2:54">
      <c r="B36" s="48"/>
      <c r="C36" s="222"/>
      <c r="D36" s="222"/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V36" s="222"/>
      <c r="W36" s="222"/>
      <c r="X36" s="222"/>
      <c r="Y36" s="222"/>
      <c r="Z36" s="222"/>
      <c r="AA36" s="222"/>
      <c r="AB36" s="222"/>
      <c r="AC36" s="222"/>
      <c r="AD36" s="222"/>
      <c r="AE36" s="222"/>
      <c r="AF36" s="222"/>
      <c r="AG36" s="222"/>
      <c r="AH36" s="222"/>
      <c r="AI36" s="222"/>
      <c r="AJ36" s="222"/>
      <c r="AK36" s="222"/>
      <c r="AL36" s="222"/>
      <c r="AM36" s="222"/>
      <c r="AN36" s="222"/>
      <c r="AO36" s="222"/>
      <c r="AP36" s="222"/>
      <c r="AQ36" s="222"/>
      <c r="AR36" s="222"/>
      <c r="AS36" s="222"/>
      <c r="AT36" s="222"/>
      <c r="AU36" s="222"/>
      <c r="AV36" s="222"/>
      <c r="AW36" s="222"/>
      <c r="AX36" s="222"/>
      <c r="AY36" s="222"/>
      <c r="AZ36" s="222"/>
      <c r="BA36" s="222"/>
      <c r="BB36" s="49"/>
    </row>
    <row r="37" spans="2:54">
      <c r="B37" s="48"/>
      <c r="C37" s="222"/>
      <c r="D37" s="222"/>
      <c r="E37" s="222"/>
      <c r="F37" s="222"/>
      <c r="G37" s="222"/>
      <c r="H37" s="222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Y37" s="222"/>
      <c r="Z37" s="222"/>
      <c r="AA37" s="222"/>
      <c r="AB37" s="222"/>
      <c r="AC37" s="222"/>
      <c r="AD37" s="222"/>
      <c r="AE37" s="222"/>
      <c r="AF37" s="222"/>
      <c r="AG37" s="222"/>
      <c r="AH37" s="222"/>
      <c r="AI37" s="222"/>
      <c r="AJ37" s="222"/>
      <c r="AK37" s="222"/>
      <c r="AL37" s="222"/>
      <c r="AM37" s="222"/>
      <c r="AN37" s="222"/>
      <c r="AO37" s="222"/>
      <c r="AP37" s="222"/>
      <c r="AQ37" s="222"/>
      <c r="AR37" s="222"/>
      <c r="AS37" s="222"/>
      <c r="AT37" s="222"/>
      <c r="AU37" s="222"/>
      <c r="AV37" s="222"/>
      <c r="AW37" s="222"/>
      <c r="AX37" s="222"/>
      <c r="AY37" s="222"/>
      <c r="AZ37" s="222"/>
      <c r="BA37" s="222"/>
      <c r="BB37" s="49"/>
    </row>
    <row r="38" spans="2:54">
      <c r="B38" s="48"/>
      <c r="C38" s="222"/>
      <c r="D38" s="222"/>
      <c r="E38" s="222"/>
      <c r="F38" s="222"/>
      <c r="G38" s="222"/>
      <c r="H38" s="222"/>
      <c r="I38" s="222"/>
      <c r="J38" s="222"/>
      <c r="K38" s="222"/>
      <c r="L38" s="222"/>
      <c r="M38" s="222"/>
      <c r="N38" s="222"/>
      <c r="O38" s="222"/>
      <c r="P38" s="222"/>
      <c r="Q38" s="222"/>
      <c r="R38" s="222"/>
      <c r="S38" s="222"/>
      <c r="T38" s="222"/>
      <c r="U38" s="222"/>
      <c r="V38" s="222"/>
      <c r="W38" s="222"/>
      <c r="X38" s="222"/>
      <c r="Y38" s="222"/>
      <c r="Z38" s="222"/>
      <c r="AA38" s="222"/>
      <c r="AB38" s="222"/>
      <c r="AC38" s="222"/>
      <c r="AD38" s="222"/>
      <c r="AE38" s="222"/>
      <c r="AF38" s="222"/>
      <c r="AG38" s="222"/>
      <c r="AH38" s="222"/>
      <c r="AI38" s="222"/>
      <c r="AJ38" s="222"/>
      <c r="AK38" s="222"/>
      <c r="AL38" s="222"/>
      <c r="AM38" s="222"/>
      <c r="AN38" s="222"/>
      <c r="AO38" s="222"/>
      <c r="AP38" s="222"/>
      <c r="AQ38" s="222"/>
      <c r="AR38" s="222"/>
      <c r="AS38" s="222"/>
      <c r="AT38" s="222"/>
      <c r="AU38" s="222"/>
      <c r="AV38" s="222"/>
      <c r="AW38" s="222"/>
      <c r="AX38" s="222"/>
      <c r="AY38" s="222"/>
      <c r="AZ38" s="222"/>
      <c r="BA38" s="222"/>
      <c r="BB38" s="49"/>
    </row>
    <row r="39" spans="2:54">
      <c r="B39" s="48"/>
      <c r="C39" s="222"/>
      <c r="D39" s="222"/>
      <c r="E39" s="222"/>
      <c r="F39" s="222"/>
      <c r="G39" s="222"/>
      <c r="H39" s="222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Y39" s="222"/>
      <c r="Z39" s="222"/>
      <c r="AA39" s="222"/>
      <c r="AB39" s="222"/>
      <c r="AC39" s="222"/>
      <c r="AD39" s="222"/>
      <c r="AE39" s="222"/>
      <c r="AF39" s="222"/>
      <c r="AG39" s="222"/>
      <c r="AH39" s="222"/>
      <c r="AI39" s="222"/>
      <c r="AJ39" s="222"/>
      <c r="AK39" s="222"/>
      <c r="AL39" s="222"/>
      <c r="AM39" s="222"/>
      <c r="AN39" s="222"/>
      <c r="AO39" s="222"/>
      <c r="AP39" s="222"/>
      <c r="AQ39" s="222"/>
      <c r="AR39" s="222"/>
      <c r="AS39" s="222"/>
      <c r="AT39" s="222"/>
      <c r="AU39" s="222"/>
      <c r="AV39" s="222"/>
      <c r="AW39" s="222"/>
      <c r="AX39" s="222"/>
      <c r="AY39" s="222"/>
      <c r="AZ39" s="222"/>
      <c r="BA39" s="222"/>
      <c r="BB39" s="49"/>
    </row>
    <row r="40" spans="2:54">
      <c r="B40" s="48"/>
      <c r="C40" s="222"/>
      <c r="D40" s="222"/>
      <c r="E40" s="222"/>
      <c r="F40" s="222"/>
      <c r="G40" s="222"/>
      <c r="H40" s="222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Y40" s="222"/>
      <c r="Z40" s="222"/>
      <c r="AA40" s="222"/>
      <c r="AB40" s="222"/>
      <c r="AC40" s="222"/>
      <c r="AD40" s="222"/>
      <c r="AE40" s="222"/>
      <c r="AF40" s="222"/>
      <c r="AG40" s="222"/>
      <c r="AH40" s="222"/>
      <c r="AI40" s="222"/>
      <c r="AJ40" s="222"/>
      <c r="AK40" s="222"/>
      <c r="AL40" s="222"/>
      <c r="AM40" s="222"/>
      <c r="AN40" s="222"/>
      <c r="AO40" s="222"/>
      <c r="AP40" s="222"/>
      <c r="AQ40" s="222"/>
      <c r="AR40" s="222"/>
      <c r="AS40" s="222"/>
      <c r="AT40" s="222"/>
      <c r="AU40" s="222"/>
      <c r="AV40" s="222"/>
      <c r="AW40" s="222"/>
      <c r="AX40" s="222"/>
      <c r="AY40" s="222"/>
      <c r="AZ40" s="222"/>
      <c r="BA40" s="222"/>
      <c r="BB40" s="49"/>
    </row>
    <row r="41" spans="2:54">
      <c r="B41" s="48"/>
      <c r="C41" s="222"/>
      <c r="D41" s="222"/>
      <c r="E41" s="222"/>
      <c r="F41" s="222"/>
      <c r="G41" s="222"/>
      <c r="H41" s="222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Y41" s="222"/>
      <c r="Z41" s="222"/>
      <c r="AA41" s="222"/>
      <c r="AB41" s="222"/>
      <c r="AC41" s="222"/>
      <c r="AD41" s="222"/>
      <c r="AE41" s="222"/>
      <c r="AF41" s="222"/>
      <c r="AG41" s="222"/>
      <c r="AH41" s="222"/>
      <c r="AI41" s="222"/>
      <c r="AJ41" s="222"/>
      <c r="AK41" s="222"/>
      <c r="AL41" s="222"/>
      <c r="AM41" s="222"/>
      <c r="AN41" s="222"/>
      <c r="AO41" s="222"/>
      <c r="AP41" s="222"/>
      <c r="AQ41" s="222"/>
      <c r="AR41" s="222"/>
      <c r="AS41" s="222"/>
      <c r="AT41" s="222"/>
      <c r="AU41" s="222"/>
      <c r="AV41" s="222"/>
      <c r="AW41" s="222"/>
      <c r="AX41" s="222"/>
      <c r="AY41" s="222"/>
      <c r="AZ41" s="222"/>
      <c r="BA41" s="222"/>
      <c r="BB41" s="49"/>
    </row>
    <row r="42" spans="2:54">
      <c r="B42" s="48"/>
      <c r="C42" s="222"/>
      <c r="D42" s="222"/>
      <c r="E42" s="222"/>
      <c r="F42" s="222"/>
      <c r="G42" s="222"/>
      <c r="H42" s="222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Y42" s="222"/>
      <c r="Z42" s="222"/>
      <c r="AA42" s="222"/>
      <c r="AB42" s="222"/>
      <c r="AC42" s="222"/>
      <c r="AD42" s="222"/>
      <c r="AE42" s="222"/>
      <c r="AF42" s="222"/>
      <c r="AG42" s="222"/>
      <c r="AH42" s="222"/>
      <c r="AI42" s="222"/>
      <c r="AJ42" s="222"/>
      <c r="AK42" s="222"/>
      <c r="AL42" s="222"/>
      <c r="AM42" s="222"/>
      <c r="AN42" s="222"/>
      <c r="AO42" s="222"/>
      <c r="AP42" s="222"/>
      <c r="AQ42" s="222"/>
      <c r="AR42" s="222"/>
      <c r="AS42" s="222"/>
      <c r="AT42" s="222"/>
      <c r="AU42" s="222"/>
      <c r="AV42" s="222"/>
      <c r="AW42" s="222"/>
      <c r="AX42" s="222"/>
      <c r="AY42" s="222"/>
      <c r="AZ42" s="222"/>
      <c r="BA42" s="222"/>
      <c r="BB42" s="49"/>
    </row>
    <row r="43" spans="2:54">
      <c r="B43" s="48"/>
      <c r="C43" s="222"/>
      <c r="D43" s="222"/>
      <c r="E43" s="222"/>
      <c r="F43" s="222"/>
      <c r="G43" s="222"/>
      <c r="H43" s="22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Y43" s="222"/>
      <c r="Z43" s="222"/>
      <c r="AA43" s="222"/>
      <c r="AB43" s="222"/>
      <c r="AC43" s="222"/>
      <c r="AD43" s="222"/>
      <c r="AE43" s="222"/>
      <c r="AF43" s="222"/>
      <c r="AG43" s="222"/>
      <c r="AH43" s="222"/>
      <c r="AI43" s="222"/>
      <c r="AJ43" s="222"/>
      <c r="AK43" s="222"/>
      <c r="AL43" s="222"/>
      <c r="AM43" s="222"/>
      <c r="AN43" s="222"/>
      <c r="AO43" s="222"/>
      <c r="AP43" s="222"/>
      <c r="AQ43" s="222"/>
      <c r="AR43" s="222"/>
      <c r="AS43" s="222"/>
      <c r="AT43" s="222"/>
      <c r="AU43" s="222"/>
      <c r="AV43" s="222"/>
      <c r="AW43" s="222"/>
      <c r="AX43" s="222"/>
      <c r="AY43" s="222"/>
      <c r="AZ43" s="222"/>
      <c r="BA43" s="222"/>
      <c r="BB43" s="49"/>
    </row>
    <row r="44" spans="2:54">
      <c r="B44" s="48"/>
      <c r="C44" s="222"/>
      <c r="D44" s="222"/>
      <c r="E44" s="222"/>
      <c r="F44" s="222"/>
      <c r="G44" s="222"/>
      <c r="H44" s="222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Y44" s="222"/>
      <c r="Z44" s="222"/>
      <c r="AA44" s="222"/>
      <c r="AB44" s="222"/>
      <c r="AC44" s="222"/>
      <c r="AD44" s="222"/>
      <c r="AE44" s="222"/>
      <c r="AF44" s="222"/>
      <c r="AG44" s="222"/>
      <c r="AH44" s="222"/>
      <c r="AI44" s="222"/>
      <c r="AJ44" s="222"/>
      <c r="AK44" s="222"/>
      <c r="AL44" s="222"/>
      <c r="AM44" s="222"/>
      <c r="AN44" s="222"/>
      <c r="AO44" s="222"/>
      <c r="AP44" s="222"/>
      <c r="AQ44" s="222"/>
      <c r="AR44" s="222"/>
      <c r="AS44" s="222"/>
      <c r="AT44" s="222"/>
      <c r="AU44" s="222"/>
      <c r="AV44" s="222"/>
      <c r="AW44" s="222"/>
      <c r="AX44" s="222"/>
      <c r="AY44" s="222"/>
      <c r="AZ44" s="222"/>
      <c r="BA44" s="222"/>
      <c r="BB44" s="49"/>
    </row>
    <row r="45" spans="2:54" ht="15.75" customHeight="1">
      <c r="B45" s="48"/>
      <c r="C45" s="222"/>
      <c r="D45" s="222"/>
      <c r="E45" s="222"/>
      <c r="F45" s="222"/>
      <c r="G45" s="222"/>
      <c r="H45" s="222"/>
      <c r="I45" s="222"/>
      <c r="J45" s="222"/>
      <c r="K45" s="225"/>
      <c r="L45" s="225"/>
      <c r="M45" s="225"/>
      <c r="N45" s="225"/>
      <c r="O45" s="225"/>
      <c r="P45" s="225"/>
      <c r="Q45" s="225"/>
      <c r="R45" s="225"/>
      <c r="S45" s="225"/>
      <c r="T45" s="225"/>
      <c r="U45" s="225"/>
      <c r="V45" s="227"/>
      <c r="W45" s="227"/>
      <c r="X45" s="227"/>
      <c r="Y45" s="227"/>
      <c r="Z45" s="227"/>
      <c r="AA45" s="227"/>
      <c r="AB45" s="227"/>
      <c r="AC45" s="227"/>
      <c r="AD45" s="227"/>
      <c r="AE45" s="226"/>
      <c r="AF45" s="228"/>
      <c r="AG45" s="228"/>
      <c r="AH45" s="228"/>
      <c r="AI45" s="228"/>
      <c r="AJ45" s="228"/>
      <c r="AK45" s="228"/>
      <c r="AL45" s="228"/>
      <c r="AM45" s="225"/>
      <c r="AN45" s="225"/>
      <c r="AO45" s="225"/>
      <c r="AP45" s="225"/>
      <c r="AQ45" s="225"/>
      <c r="AR45" s="225"/>
      <c r="AS45" s="225"/>
      <c r="AT45" s="222"/>
      <c r="AU45" s="222"/>
      <c r="AV45" s="222"/>
      <c r="AW45" s="222"/>
      <c r="AX45" s="222"/>
      <c r="AY45" s="222"/>
      <c r="AZ45" s="222"/>
      <c r="BA45" s="222"/>
      <c r="BB45" s="49"/>
    </row>
    <row r="46" spans="2:54" ht="15.75" customHeight="1">
      <c r="B46" s="48"/>
      <c r="C46" s="222"/>
      <c r="D46" s="222"/>
      <c r="E46" s="222"/>
      <c r="F46" s="222"/>
      <c r="G46" s="222"/>
      <c r="H46" s="222"/>
      <c r="I46" s="222"/>
      <c r="J46" s="222"/>
      <c r="K46" s="225"/>
      <c r="L46" s="225"/>
      <c r="M46" s="225"/>
      <c r="N46" s="225"/>
      <c r="O46" s="225"/>
      <c r="P46" s="225"/>
      <c r="Q46" s="225"/>
      <c r="R46" s="225"/>
      <c r="S46" s="225"/>
      <c r="T46" s="225"/>
      <c r="U46" s="227"/>
      <c r="V46" s="227"/>
      <c r="W46" s="227"/>
      <c r="X46" s="227"/>
      <c r="Y46" s="227"/>
      <c r="Z46" s="227"/>
      <c r="AA46" s="227"/>
      <c r="AB46" s="227"/>
      <c r="AC46" s="227"/>
      <c r="AD46" s="227"/>
      <c r="AE46" s="228"/>
      <c r="AF46" s="228"/>
      <c r="AG46" s="228"/>
      <c r="AH46" s="228"/>
      <c r="AI46" s="228"/>
      <c r="AJ46" s="228"/>
      <c r="AK46" s="228"/>
      <c r="AL46" s="228"/>
      <c r="AM46" s="225"/>
      <c r="AN46" s="225"/>
      <c r="AO46" s="225"/>
      <c r="AP46" s="225"/>
      <c r="AQ46" s="225"/>
      <c r="AR46" s="225"/>
      <c r="AS46" s="225"/>
      <c r="AT46" s="222"/>
      <c r="AU46" s="222"/>
      <c r="AV46" s="222"/>
      <c r="AW46" s="222"/>
      <c r="AX46" s="222"/>
      <c r="AY46" s="222"/>
      <c r="AZ46" s="222"/>
      <c r="BA46" s="222"/>
      <c r="BB46" s="49"/>
    </row>
    <row r="47" spans="2:54" ht="15.75" customHeight="1">
      <c r="B47" s="48"/>
      <c r="C47" s="222"/>
      <c r="D47" s="222"/>
      <c r="E47" s="222"/>
      <c r="F47" s="222"/>
      <c r="G47" s="222"/>
      <c r="H47" s="222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Y47" s="222"/>
      <c r="Z47" s="222"/>
      <c r="AA47" s="222"/>
      <c r="AB47" s="222"/>
      <c r="AC47" s="222"/>
      <c r="AD47" s="222"/>
      <c r="AE47" s="222"/>
      <c r="AF47" s="222"/>
      <c r="AG47" s="222"/>
      <c r="AH47" s="222"/>
      <c r="AI47" s="222"/>
      <c r="AJ47" s="222"/>
      <c r="AK47" s="222"/>
      <c r="AL47" s="222"/>
      <c r="AM47" s="222"/>
      <c r="AN47" s="222"/>
      <c r="AO47" s="222"/>
      <c r="AP47" s="222"/>
      <c r="AQ47" s="222"/>
      <c r="AR47" s="222"/>
      <c r="AS47" s="222"/>
      <c r="AT47" s="222"/>
      <c r="AU47" s="222"/>
      <c r="AV47" s="222"/>
      <c r="AW47" s="222"/>
      <c r="AX47" s="222"/>
      <c r="AY47" s="222"/>
      <c r="AZ47" s="222"/>
      <c r="BA47" s="222"/>
      <c r="BB47" s="49"/>
    </row>
    <row r="48" spans="2:54">
      <c r="B48" s="48"/>
      <c r="C48" s="222"/>
      <c r="D48" s="222"/>
      <c r="E48" s="222"/>
      <c r="F48" s="222"/>
      <c r="G48" s="222"/>
      <c r="H48" s="222"/>
      <c r="I48" s="222"/>
      <c r="J48" s="222"/>
      <c r="K48" s="222"/>
      <c r="L48" s="222"/>
      <c r="M48" s="222"/>
      <c r="N48" s="222"/>
      <c r="O48" s="222"/>
      <c r="P48" s="222"/>
      <c r="Q48" s="222"/>
      <c r="R48" s="222"/>
      <c r="S48" s="222"/>
      <c r="T48" s="222"/>
      <c r="U48" s="222"/>
      <c r="V48" s="222"/>
      <c r="W48" s="222"/>
      <c r="X48" s="222"/>
      <c r="Y48" s="222"/>
      <c r="Z48" s="222"/>
      <c r="AA48" s="222"/>
      <c r="AB48" s="222"/>
      <c r="AC48" s="222"/>
      <c r="AD48" s="222"/>
      <c r="AE48" s="222"/>
      <c r="AF48" s="222"/>
      <c r="AG48" s="222"/>
      <c r="AH48" s="222"/>
      <c r="AI48" s="222"/>
      <c r="AJ48" s="222"/>
      <c r="AK48" s="222"/>
      <c r="AL48" s="222"/>
      <c r="AM48" s="222"/>
      <c r="AN48" s="222"/>
      <c r="AO48" s="222"/>
      <c r="AP48" s="222"/>
      <c r="AQ48" s="222"/>
      <c r="AR48" s="222"/>
      <c r="AS48" s="222"/>
      <c r="AT48" s="222"/>
      <c r="AU48" s="222"/>
      <c r="AV48" s="222"/>
      <c r="AW48" s="222"/>
      <c r="AX48" s="222"/>
      <c r="AY48" s="222"/>
      <c r="AZ48" s="222"/>
      <c r="BA48" s="222"/>
      <c r="BB48" s="49"/>
    </row>
    <row r="49" spans="1:54" ht="16.5" thickBot="1">
      <c r="B49" s="50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51"/>
      <c r="AQ49" s="51"/>
      <c r="AR49" s="51"/>
      <c r="AS49" s="51"/>
      <c r="AT49" s="51"/>
      <c r="AU49" s="51"/>
      <c r="AV49" s="51"/>
      <c r="AW49" s="51"/>
      <c r="AX49" s="51"/>
      <c r="AY49" s="51"/>
      <c r="AZ49" s="51"/>
      <c r="BA49" s="51"/>
      <c r="BB49" s="52"/>
    </row>
    <row r="50" spans="1:54" ht="7.9" customHeight="1"/>
    <row r="51" spans="1:54" ht="7.9" customHeight="1" thickBot="1"/>
    <row r="52" spans="1:54" ht="16.5" thickBot="1">
      <c r="B52" s="53" t="s">
        <v>16</v>
      </c>
      <c r="C52" s="57" t="s">
        <v>17</v>
      </c>
      <c r="D52" s="54"/>
      <c r="E52" s="54"/>
      <c r="F52" s="54"/>
      <c r="G52" s="54"/>
      <c r="H52" s="58"/>
      <c r="I52" s="57" t="s">
        <v>18</v>
      </c>
      <c r="J52" s="54"/>
      <c r="K52" s="54"/>
      <c r="L52" s="58"/>
      <c r="M52" s="129" t="s">
        <v>19</v>
      </c>
      <c r="N52" s="130"/>
      <c r="O52" s="129" t="s">
        <v>20</v>
      </c>
      <c r="P52" s="130"/>
      <c r="Q52" s="54" t="s">
        <v>21</v>
      </c>
      <c r="R52" s="54"/>
      <c r="S52" s="54"/>
      <c r="T52" s="54"/>
      <c r="U52" s="54"/>
      <c r="V52" s="54"/>
      <c r="W52" s="58"/>
      <c r="X52" s="57" t="s">
        <v>22</v>
      </c>
      <c r="Y52" s="54"/>
      <c r="Z52" s="54"/>
      <c r="AA52" s="54"/>
      <c r="AB52" s="54"/>
      <c r="AC52" s="54"/>
      <c r="AD52" s="58"/>
      <c r="AE52" s="57" t="s">
        <v>34</v>
      </c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7" t="s">
        <v>130</v>
      </c>
      <c r="AW52" s="54"/>
      <c r="AX52" s="54"/>
      <c r="AY52" s="54"/>
      <c r="AZ52" s="54"/>
      <c r="BA52" s="54"/>
      <c r="BB52" s="56"/>
    </row>
    <row r="53" spans="1:54" s="87" customFormat="1" ht="18.75" customHeight="1">
      <c r="B53" s="86">
        <f t="shared" ref="B53:B62" si="0">ROW()-53</f>
        <v>0</v>
      </c>
      <c r="C53" s="75" t="s">
        <v>43</v>
      </c>
      <c r="D53" s="88"/>
      <c r="E53" s="88"/>
      <c r="F53" s="88"/>
      <c r="G53" s="88"/>
      <c r="H53" s="76"/>
      <c r="I53" s="75"/>
      <c r="J53" s="88"/>
      <c r="K53" s="88"/>
      <c r="L53" s="76"/>
      <c r="M53" s="137" t="s">
        <v>28</v>
      </c>
      <c r="N53" s="137"/>
      <c r="O53" s="137" t="s">
        <v>28</v>
      </c>
      <c r="P53" s="137"/>
      <c r="Q53" s="88"/>
      <c r="R53" s="88"/>
      <c r="S53" s="88"/>
      <c r="T53" s="88"/>
      <c r="U53" s="88"/>
      <c r="V53" s="88"/>
      <c r="W53" s="76"/>
      <c r="X53" s="75"/>
      <c r="Y53" s="88"/>
      <c r="Z53" s="88"/>
      <c r="AA53" s="88"/>
      <c r="AB53" s="88"/>
      <c r="AC53" s="88"/>
      <c r="AD53" s="76"/>
      <c r="AE53" s="75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  <c r="AQ53" s="88"/>
      <c r="AR53" s="88"/>
      <c r="AS53" s="88"/>
      <c r="AT53" s="88"/>
      <c r="AU53" s="88"/>
      <c r="AV53" s="252" t="s">
        <v>131</v>
      </c>
      <c r="AW53" s="237"/>
      <c r="AX53" s="237"/>
      <c r="AY53" s="237"/>
      <c r="AZ53" s="237"/>
      <c r="BA53" s="237"/>
      <c r="BB53" s="238"/>
    </row>
    <row r="54" spans="1:54" s="87" customFormat="1" ht="15.75" customHeight="1">
      <c r="A54" s="89"/>
      <c r="B54" s="73">
        <f t="shared" si="0"/>
        <v>1</v>
      </c>
      <c r="C54" s="90"/>
      <c r="D54" s="79" t="s">
        <v>81</v>
      </c>
      <c r="E54" s="79"/>
      <c r="F54" s="79"/>
      <c r="G54" s="79"/>
      <c r="H54" s="80"/>
      <c r="I54" s="77" t="s">
        <v>29</v>
      </c>
      <c r="J54" s="79"/>
      <c r="K54" s="79"/>
      <c r="L54" s="80"/>
      <c r="M54" s="137" t="s">
        <v>28</v>
      </c>
      <c r="N54" s="137"/>
      <c r="O54" s="137" t="s">
        <v>28</v>
      </c>
      <c r="P54" s="137"/>
      <c r="Q54" s="79"/>
      <c r="R54" s="79"/>
      <c r="S54" s="79"/>
      <c r="T54" s="79"/>
      <c r="U54" s="79"/>
      <c r="V54" s="79"/>
      <c r="W54" s="80"/>
      <c r="X54" s="77"/>
      <c r="Y54" s="79"/>
      <c r="Z54" s="79"/>
      <c r="AA54" s="79"/>
      <c r="AB54" s="79"/>
      <c r="AC54" s="79"/>
      <c r="AD54" s="80"/>
      <c r="AE54" s="79" t="s">
        <v>44</v>
      </c>
      <c r="AF54" s="79"/>
      <c r="AG54" s="79"/>
      <c r="AH54" s="79"/>
      <c r="AI54" s="79"/>
      <c r="AJ54" s="79"/>
      <c r="AK54" s="79"/>
      <c r="AL54" s="79"/>
      <c r="AM54" s="79"/>
      <c r="AN54" s="79"/>
      <c r="AO54" s="79"/>
      <c r="AP54" s="79"/>
      <c r="AQ54" s="79"/>
      <c r="AR54" s="79"/>
      <c r="AS54" s="79"/>
      <c r="AT54" s="79"/>
      <c r="AU54" s="79"/>
      <c r="AV54" s="255"/>
      <c r="AW54" s="250" t="s">
        <v>132</v>
      </c>
      <c r="AX54" s="250"/>
      <c r="AY54" s="250"/>
      <c r="AZ54" s="250"/>
      <c r="BA54" s="250"/>
      <c r="BB54" s="251"/>
    </row>
    <row r="55" spans="1:54" s="87" customFormat="1" ht="15.75" customHeight="1">
      <c r="A55" s="89"/>
      <c r="B55" s="73">
        <f t="shared" si="0"/>
        <v>2</v>
      </c>
      <c r="C55" s="81"/>
      <c r="D55" s="79" t="s">
        <v>116</v>
      </c>
      <c r="E55" s="91"/>
      <c r="F55" s="79"/>
      <c r="G55" s="79"/>
      <c r="H55" s="80"/>
      <c r="I55" s="77" t="s">
        <v>29</v>
      </c>
      <c r="J55" s="79"/>
      <c r="K55" s="79"/>
      <c r="L55" s="80"/>
      <c r="M55" s="137" t="s">
        <v>28</v>
      </c>
      <c r="N55" s="137"/>
      <c r="O55" s="137" t="s">
        <v>28</v>
      </c>
      <c r="P55" s="137"/>
      <c r="Q55" s="79"/>
      <c r="R55" s="79"/>
      <c r="S55" s="79"/>
      <c r="T55" s="79"/>
      <c r="U55" s="79"/>
      <c r="V55" s="79"/>
      <c r="W55" s="80"/>
      <c r="X55" s="77"/>
      <c r="Y55" s="79"/>
      <c r="Z55" s="79"/>
      <c r="AA55" s="79"/>
      <c r="AB55" s="79"/>
      <c r="AC55" s="79"/>
      <c r="AD55" s="80"/>
      <c r="AE55" s="77" t="s">
        <v>117</v>
      </c>
      <c r="AF55" s="79"/>
      <c r="AG55" s="79"/>
      <c r="AH55" s="79"/>
      <c r="AI55" s="79"/>
      <c r="AJ55" s="79"/>
      <c r="AK55" s="79"/>
      <c r="AL55" s="79"/>
      <c r="AM55" s="79"/>
      <c r="AN55" s="79"/>
      <c r="AO55" s="79"/>
      <c r="AP55" s="79"/>
      <c r="AQ55" s="79"/>
      <c r="AR55" s="79"/>
      <c r="AS55" s="79"/>
      <c r="AT55" s="79"/>
      <c r="AU55" s="79"/>
      <c r="AV55" s="253"/>
      <c r="AW55" s="249" t="s">
        <v>133</v>
      </c>
      <c r="AX55" s="250"/>
      <c r="AY55" s="250"/>
      <c r="AZ55" s="250"/>
      <c r="BA55" s="250"/>
      <c r="BB55" s="251"/>
    </row>
    <row r="56" spans="1:54">
      <c r="B56" s="59">
        <f t="shared" si="0"/>
        <v>3</v>
      </c>
      <c r="C56" s="72" t="s">
        <v>48</v>
      </c>
      <c r="D56" s="61"/>
      <c r="E56" s="61"/>
      <c r="F56" s="61"/>
      <c r="G56" s="61"/>
      <c r="H56" s="62"/>
      <c r="I56" s="60" t="s">
        <v>30</v>
      </c>
      <c r="J56" s="61"/>
      <c r="K56" s="61"/>
      <c r="L56" s="62"/>
      <c r="M56" s="137" t="s">
        <v>31</v>
      </c>
      <c r="N56" s="137"/>
      <c r="O56" s="137">
        <v>200</v>
      </c>
      <c r="P56" s="137"/>
      <c r="Q56" s="61"/>
      <c r="R56" s="61"/>
      <c r="S56" s="61"/>
      <c r="T56" s="61"/>
      <c r="U56" s="61"/>
      <c r="V56" s="61"/>
      <c r="W56" s="62"/>
      <c r="X56" s="60"/>
      <c r="Y56" s="61"/>
      <c r="Z56" s="61"/>
      <c r="AA56" s="61"/>
      <c r="AB56" s="61"/>
      <c r="AC56" s="61"/>
      <c r="AD56" s="62"/>
      <c r="AE56" s="60"/>
      <c r="AF56" s="61"/>
      <c r="AG56" s="61"/>
      <c r="AH56" s="61"/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254" t="s">
        <v>126</v>
      </c>
      <c r="AW56" s="237"/>
      <c r="AX56" s="237"/>
      <c r="AY56" s="237"/>
      <c r="AZ56" s="237"/>
      <c r="BA56" s="237"/>
      <c r="BB56" s="238"/>
    </row>
    <row r="57" spans="1:54">
      <c r="B57" s="59">
        <f t="shared" si="0"/>
        <v>4</v>
      </c>
      <c r="C57" s="60" t="s">
        <v>32</v>
      </c>
      <c r="D57" s="61"/>
      <c r="E57" s="61"/>
      <c r="F57" s="61"/>
      <c r="G57" s="61"/>
      <c r="H57" s="62"/>
      <c r="I57" s="60" t="s">
        <v>27</v>
      </c>
      <c r="J57" s="61"/>
      <c r="K57" s="61"/>
      <c r="L57" s="62"/>
      <c r="M57" s="137" t="s">
        <v>28</v>
      </c>
      <c r="N57" s="137"/>
      <c r="O57" s="137" t="s">
        <v>28</v>
      </c>
      <c r="P57" s="137"/>
      <c r="Q57" s="61"/>
      <c r="R57" s="61"/>
      <c r="S57" s="61"/>
      <c r="T57" s="61"/>
      <c r="U57" s="61"/>
      <c r="V57" s="61"/>
      <c r="W57" s="62"/>
      <c r="X57" s="60"/>
      <c r="Y57" s="61"/>
      <c r="Z57" s="61"/>
      <c r="AA57" s="61"/>
      <c r="AB57" s="61"/>
      <c r="AC57" s="61"/>
      <c r="AD57" s="62"/>
      <c r="AE57" s="60" t="s">
        <v>72</v>
      </c>
      <c r="AF57" s="61"/>
      <c r="AG57" s="61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237" t="s">
        <v>134</v>
      </c>
      <c r="AW57" s="237"/>
      <c r="AX57" s="237"/>
      <c r="AY57" s="237"/>
      <c r="AZ57" s="237"/>
      <c r="BA57" s="237"/>
      <c r="BB57" s="238"/>
    </row>
    <row r="58" spans="1:54">
      <c r="B58" s="86">
        <f t="shared" si="0"/>
        <v>5</v>
      </c>
      <c r="C58" s="92" t="s">
        <v>54</v>
      </c>
      <c r="D58" s="79"/>
      <c r="E58" s="79"/>
      <c r="F58" s="79"/>
      <c r="G58" s="79"/>
      <c r="H58" s="80"/>
      <c r="I58" s="77" t="s">
        <v>27</v>
      </c>
      <c r="J58" s="79"/>
      <c r="K58" s="79"/>
      <c r="L58" s="80"/>
      <c r="M58" s="205" t="s">
        <v>28</v>
      </c>
      <c r="N58" s="206"/>
      <c r="O58" s="205" t="s">
        <v>28</v>
      </c>
      <c r="P58" s="206"/>
      <c r="Q58" s="79"/>
      <c r="R58" s="79"/>
      <c r="S58" s="79"/>
      <c r="T58" s="79"/>
      <c r="U58" s="79"/>
      <c r="V58" s="79"/>
      <c r="W58" s="80"/>
      <c r="X58" s="77"/>
      <c r="Y58" s="79"/>
      <c r="Z58" s="79"/>
      <c r="AA58" s="79"/>
      <c r="AB58" s="79"/>
      <c r="AC58" s="79"/>
      <c r="AD58" s="80"/>
      <c r="AE58" s="82" t="s">
        <v>51</v>
      </c>
      <c r="AF58" s="61"/>
      <c r="AG58" s="61"/>
      <c r="AH58" s="61"/>
      <c r="AI58" s="61"/>
      <c r="AJ58" s="61"/>
      <c r="AK58" s="61"/>
      <c r="AL58" s="71"/>
      <c r="AM58" s="71"/>
      <c r="AN58" s="71"/>
      <c r="AO58" s="71"/>
      <c r="AP58" s="71"/>
      <c r="AQ58" s="71"/>
      <c r="AR58" s="71"/>
      <c r="AS58" s="71"/>
      <c r="AT58" s="71"/>
      <c r="AU58" s="71"/>
      <c r="AV58" s="237" t="s">
        <v>137</v>
      </c>
      <c r="AW58" s="237"/>
      <c r="AX58" s="237"/>
      <c r="AY58" s="237"/>
      <c r="AZ58" s="237"/>
      <c r="BA58" s="237"/>
      <c r="BB58" s="238"/>
    </row>
    <row r="59" spans="1:54">
      <c r="B59" s="86">
        <f t="shared" si="0"/>
        <v>6</v>
      </c>
      <c r="C59" s="77" t="s">
        <v>52</v>
      </c>
      <c r="D59" s="79"/>
      <c r="E59" s="79"/>
      <c r="F59" s="79"/>
      <c r="G59" s="79"/>
      <c r="H59" s="80"/>
      <c r="I59" s="77"/>
      <c r="J59" s="79"/>
      <c r="K59" s="79"/>
      <c r="L59" s="80"/>
      <c r="M59" s="205" t="s">
        <v>28</v>
      </c>
      <c r="N59" s="206"/>
      <c r="O59" s="205" t="s">
        <v>28</v>
      </c>
      <c r="P59" s="206"/>
      <c r="Q59" s="79"/>
      <c r="R59" s="79"/>
      <c r="S59" s="79"/>
      <c r="T59" s="79"/>
      <c r="U59" s="79"/>
      <c r="V59" s="79"/>
      <c r="W59" s="80"/>
      <c r="X59" s="77"/>
      <c r="Y59" s="79"/>
      <c r="Z59" s="79"/>
      <c r="AA59" s="79"/>
      <c r="AB59" s="79"/>
      <c r="AC59" s="79"/>
      <c r="AD59" s="80"/>
      <c r="AE59" s="75"/>
      <c r="AF59" s="61"/>
      <c r="AG59" s="61"/>
      <c r="AH59" s="61"/>
      <c r="AI59" s="61"/>
      <c r="AJ59" s="61"/>
      <c r="AK59" s="61"/>
      <c r="AL59" s="71"/>
      <c r="AM59" s="71"/>
      <c r="AN59" s="71"/>
      <c r="AO59" s="71"/>
      <c r="AP59" s="71"/>
      <c r="AQ59" s="71"/>
      <c r="AR59" s="71"/>
      <c r="AS59" s="71"/>
      <c r="AT59" s="71"/>
      <c r="AU59" s="71"/>
      <c r="AV59" s="237" t="s">
        <v>135</v>
      </c>
      <c r="AW59" s="237"/>
      <c r="AX59" s="237"/>
      <c r="AY59" s="237"/>
      <c r="AZ59" s="237"/>
      <c r="BA59" s="237"/>
      <c r="BB59" s="238"/>
    </row>
    <row r="60" spans="1:54">
      <c r="B60" s="86">
        <f t="shared" si="0"/>
        <v>7</v>
      </c>
      <c r="C60" s="90"/>
      <c r="D60" s="79" t="s">
        <v>55</v>
      </c>
      <c r="E60" s="79"/>
      <c r="F60" s="79"/>
      <c r="G60" s="79"/>
      <c r="H60" s="80"/>
      <c r="I60" s="77" t="s">
        <v>27</v>
      </c>
      <c r="J60" s="79"/>
      <c r="K60" s="79"/>
      <c r="L60" s="80"/>
      <c r="M60" s="205" t="s">
        <v>28</v>
      </c>
      <c r="N60" s="206"/>
      <c r="O60" s="205" t="s">
        <v>28</v>
      </c>
      <c r="P60" s="206"/>
      <c r="Q60" s="79"/>
      <c r="R60" s="79"/>
      <c r="S60" s="79"/>
      <c r="T60" s="79"/>
      <c r="U60" s="79"/>
      <c r="V60" s="79"/>
      <c r="W60" s="80"/>
      <c r="X60" s="77"/>
      <c r="Y60" s="79"/>
      <c r="Z60" s="79"/>
      <c r="AA60" s="79"/>
      <c r="AB60" s="79"/>
      <c r="AC60" s="79"/>
      <c r="AD60" s="80"/>
      <c r="AE60" s="77" t="s">
        <v>63</v>
      </c>
      <c r="AF60" s="61"/>
      <c r="AG60" s="61"/>
      <c r="AH60" s="61"/>
      <c r="AI60" s="61"/>
      <c r="AJ60" s="61"/>
      <c r="AK60" s="61"/>
      <c r="AL60" s="71"/>
      <c r="AM60" s="71"/>
      <c r="AN60" s="71"/>
      <c r="AO60" s="71"/>
      <c r="AP60" s="71"/>
      <c r="AQ60" s="71"/>
      <c r="AR60" s="71"/>
      <c r="AS60" s="71"/>
      <c r="AT60" s="71"/>
      <c r="AU60" s="71"/>
      <c r="AV60" s="237" t="s">
        <v>136</v>
      </c>
      <c r="AW60" s="237"/>
      <c r="AX60" s="237"/>
      <c r="AY60" s="237"/>
      <c r="AZ60" s="237"/>
      <c r="BA60" s="237"/>
      <c r="BB60" s="238"/>
    </row>
    <row r="61" spans="1:54" ht="15.75" customHeight="1">
      <c r="B61" s="85">
        <f t="shared" si="0"/>
        <v>8</v>
      </c>
      <c r="C61" s="93"/>
      <c r="D61" s="92" t="s">
        <v>57</v>
      </c>
      <c r="E61" s="79"/>
      <c r="F61" s="79"/>
      <c r="G61" s="79"/>
      <c r="H61" s="80"/>
      <c r="I61" s="77" t="s">
        <v>27</v>
      </c>
      <c r="J61" s="79"/>
      <c r="K61" s="79"/>
      <c r="L61" s="80"/>
      <c r="M61" s="204" t="s">
        <v>28</v>
      </c>
      <c r="N61" s="204"/>
      <c r="O61" s="204" t="s">
        <v>28</v>
      </c>
      <c r="P61" s="204"/>
      <c r="Q61" s="79"/>
      <c r="R61" s="79"/>
      <c r="S61" s="79"/>
      <c r="T61" s="79"/>
      <c r="U61" s="79"/>
      <c r="V61" s="79"/>
      <c r="W61" s="80"/>
      <c r="X61" s="77"/>
      <c r="Y61" s="79"/>
      <c r="Z61" s="79"/>
      <c r="AA61" s="79"/>
      <c r="AB61" s="79"/>
      <c r="AC61" s="79"/>
      <c r="AD61" s="80"/>
      <c r="AE61" s="77" t="s">
        <v>58</v>
      </c>
      <c r="AF61" s="61"/>
      <c r="AG61" s="61"/>
      <c r="AH61" s="61"/>
      <c r="AI61" s="61"/>
      <c r="AJ61" s="61"/>
      <c r="AK61" s="61"/>
      <c r="AL61" s="71"/>
      <c r="AM61" s="71"/>
      <c r="AN61" s="71"/>
      <c r="AO61" s="71"/>
      <c r="AP61" s="71"/>
      <c r="AQ61" s="71"/>
      <c r="AR61" s="71"/>
      <c r="AS61" s="71"/>
      <c r="AT61" s="71"/>
      <c r="AU61" s="71"/>
      <c r="AV61" s="237" t="s">
        <v>137</v>
      </c>
      <c r="AW61" s="237"/>
      <c r="AX61" s="237"/>
      <c r="AY61" s="237"/>
      <c r="AZ61" s="237"/>
      <c r="BA61" s="237"/>
      <c r="BB61" s="238"/>
    </row>
    <row r="62" spans="1:54" ht="16.5" thickBot="1">
      <c r="B62" s="63">
        <f t="shared" si="0"/>
        <v>9</v>
      </c>
      <c r="C62" s="64" t="s">
        <v>118</v>
      </c>
      <c r="D62" s="65"/>
      <c r="E62" s="65"/>
      <c r="F62" s="65"/>
      <c r="G62" s="65"/>
      <c r="H62" s="66"/>
      <c r="I62" s="64" t="s">
        <v>27</v>
      </c>
      <c r="J62" s="65"/>
      <c r="K62" s="65"/>
      <c r="L62" s="66"/>
      <c r="M62" s="202" t="s">
        <v>28</v>
      </c>
      <c r="N62" s="203"/>
      <c r="O62" s="202" t="s">
        <v>28</v>
      </c>
      <c r="P62" s="203"/>
      <c r="Q62" s="65"/>
      <c r="R62" s="65"/>
      <c r="S62" s="65"/>
      <c r="T62" s="65"/>
      <c r="U62" s="65"/>
      <c r="V62" s="65"/>
      <c r="W62" s="66"/>
      <c r="X62" s="64"/>
      <c r="Y62" s="65"/>
      <c r="Z62" s="65"/>
      <c r="AA62" s="65"/>
      <c r="AB62" s="65"/>
      <c r="AC62" s="65"/>
      <c r="AD62" s="66"/>
      <c r="AE62" s="64" t="s">
        <v>64</v>
      </c>
      <c r="AF62" s="65"/>
      <c r="AG62" s="65"/>
      <c r="AH62" s="65"/>
      <c r="AI62" s="65"/>
      <c r="AJ62" s="65"/>
      <c r="AK62" s="65"/>
      <c r="AL62" s="65"/>
      <c r="AM62" s="65"/>
      <c r="AN62" s="65"/>
      <c r="AO62" s="65"/>
      <c r="AP62" s="65"/>
      <c r="AQ62" s="65"/>
      <c r="AR62" s="65"/>
      <c r="AS62" s="65"/>
      <c r="AT62" s="65"/>
      <c r="AU62" s="65"/>
      <c r="AV62" s="239" t="s">
        <v>138</v>
      </c>
      <c r="AW62" s="239"/>
      <c r="AX62" s="239"/>
      <c r="AY62" s="239"/>
      <c r="AZ62" s="239"/>
      <c r="BA62" s="239"/>
      <c r="BB62" s="240"/>
    </row>
    <row r="63" spans="1:54" ht="7.9" customHeight="1"/>
  </sheetData>
  <mergeCells count="78">
    <mergeCell ref="AV53:BB53"/>
    <mergeCell ref="AV57:BB57"/>
    <mergeCell ref="AV59:BB59"/>
    <mergeCell ref="AV61:BB61"/>
    <mergeCell ref="AW54:BB54"/>
    <mergeCell ref="AW55:BB55"/>
    <mergeCell ref="AV56:BB56"/>
    <mergeCell ref="AV58:BB58"/>
    <mergeCell ref="AV60:BB60"/>
    <mergeCell ref="AV62:BB62"/>
    <mergeCell ref="K25:T26"/>
    <mergeCell ref="U25:AD26"/>
    <mergeCell ref="AE25:AL26"/>
    <mergeCell ref="AM25:AS26"/>
    <mergeCell ref="K45:T46"/>
    <mergeCell ref="U45:AD46"/>
    <mergeCell ref="AE45:AL46"/>
    <mergeCell ref="AM45:AS46"/>
    <mergeCell ref="K21:T22"/>
    <mergeCell ref="U21:AD22"/>
    <mergeCell ref="AE21:AL22"/>
    <mergeCell ref="AM21:AS22"/>
    <mergeCell ref="K23:T24"/>
    <mergeCell ref="U23:AD24"/>
    <mergeCell ref="AE23:AL24"/>
    <mergeCell ref="AM23:AS24"/>
    <mergeCell ref="M53:N53"/>
    <mergeCell ref="O53:P53"/>
    <mergeCell ref="M54:N54"/>
    <mergeCell ref="O54:P54"/>
    <mergeCell ref="M60:N60"/>
    <mergeCell ref="O60:P60"/>
    <mergeCell ref="M56:N56"/>
    <mergeCell ref="O56:P56"/>
    <mergeCell ref="M55:N55"/>
    <mergeCell ref="O55:P55"/>
    <mergeCell ref="M62:N62"/>
    <mergeCell ref="O62:P62"/>
    <mergeCell ref="M57:N57"/>
    <mergeCell ref="O57:P57"/>
    <mergeCell ref="M61:N61"/>
    <mergeCell ref="O61:P61"/>
    <mergeCell ref="M59:N59"/>
    <mergeCell ref="O59:P59"/>
    <mergeCell ref="M58:N58"/>
    <mergeCell ref="O58:P58"/>
    <mergeCell ref="M52:N52"/>
    <mergeCell ref="O52:P52"/>
    <mergeCell ref="AL4:AU4"/>
    <mergeCell ref="AV4:AX4"/>
    <mergeCell ref="AY4:BA4"/>
    <mergeCell ref="F10:Z11"/>
    <mergeCell ref="AI4:AJ4"/>
    <mergeCell ref="B6:K6"/>
    <mergeCell ref="L6:N6"/>
    <mergeCell ref="O6:Q6"/>
    <mergeCell ref="R6:T6"/>
    <mergeCell ref="C4:E4"/>
    <mergeCell ref="F4:G4"/>
    <mergeCell ref="H4:S4"/>
    <mergeCell ref="T4:U4"/>
    <mergeCell ref="V4:AE4"/>
    <mergeCell ref="AP2:AS2"/>
    <mergeCell ref="AT2:AX2"/>
    <mergeCell ref="AY2:BB2"/>
    <mergeCell ref="M3:Q3"/>
    <mergeCell ref="S3:W3"/>
    <mergeCell ref="Y3:AC3"/>
    <mergeCell ref="AL3:AO3"/>
    <mergeCell ref="AP3:AS3"/>
    <mergeCell ref="AT3:AX3"/>
    <mergeCell ref="AY3:BB3"/>
    <mergeCell ref="AL2:AO2"/>
    <mergeCell ref="B2:K3"/>
    <mergeCell ref="L2:Q2"/>
    <mergeCell ref="R2:W2"/>
    <mergeCell ref="X2:AC2"/>
    <mergeCell ref="AD2:AK3"/>
  </mergeCells>
  <phoneticPr fontId="3"/>
  <pageMargins left="0.35433070866141736" right="0.39370078740157483" top="0.78740157480314965" bottom="0.39370078740157483" header="0.39370078740157483" footer="0.39370078740157483"/>
  <pageSetup paperSize="9" scale="63" fitToHeight="0" orientation="landscape" r:id="rId1"/>
  <headerFooter alignWithMargins="0">
    <oddHeader>&amp;R&amp;G</oddHeader>
    <oddFooter>&amp;C&amp;8&amp;P&amp;R&amp;9©2021 SUS Co., Ltd. All right reserved</oddFooter>
  </headerFooter>
  <rowBreaks count="1" manualBreakCount="1">
    <brk id="50" max="54" man="1"/>
  </rowBreaks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65E92-7671-4649-AAD1-3DBA0A1A5F80}">
  <sheetPr>
    <pageSetUpPr fitToPage="1"/>
  </sheetPr>
  <dimension ref="A1:BC63"/>
  <sheetViews>
    <sheetView showGridLines="0" topLeftCell="A32" zoomScale="112" zoomScaleNormal="70" zoomScaleSheetLayoutView="85" workbookViewId="0">
      <selection activeCell="AV62" sqref="AV62:BB62"/>
    </sheetView>
  </sheetViews>
  <sheetFormatPr defaultColWidth="3.75" defaultRowHeight="15.75"/>
  <cols>
    <col min="1" max="1" width="0.875" style="44" customWidth="1"/>
    <col min="2" max="2" width="4" style="44" customWidth="1"/>
    <col min="3" max="54" width="3.75" style="44"/>
    <col min="55" max="55" width="0.875" style="44" customWidth="1"/>
    <col min="56" max="16384" width="3.75" style="44"/>
  </cols>
  <sheetData>
    <row r="1" spans="1:55" s="38" customFormat="1" ht="6.75" customHeight="1" thickBot="1">
      <c r="A1" s="35"/>
      <c r="B1" s="36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</row>
    <row r="2" spans="1:55" s="38" customFormat="1" ht="20.25" customHeight="1" thickTop="1">
      <c r="A2" s="37"/>
      <c r="B2" s="97" t="str">
        <f>改版履歴!B2</f>
        <v>楽曲検索システム</v>
      </c>
      <c r="C2" s="98"/>
      <c r="D2" s="98"/>
      <c r="E2" s="98"/>
      <c r="F2" s="98"/>
      <c r="G2" s="98"/>
      <c r="H2" s="98"/>
      <c r="I2" s="98"/>
      <c r="J2" s="98"/>
      <c r="K2" s="99"/>
      <c r="L2" s="103" t="str">
        <f>改版履歴!L2</f>
        <v>システム</v>
      </c>
      <c r="M2" s="104"/>
      <c r="N2" s="104"/>
      <c r="O2" s="104"/>
      <c r="P2" s="104"/>
      <c r="Q2" s="104"/>
      <c r="R2" s="104" t="str">
        <f>改版履歴!R2</f>
        <v>サブシステム</v>
      </c>
      <c r="S2" s="104"/>
      <c r="T2" s="104"/>
      <c r="U2" s="104"/>
      <c r="V2" s="104"/>
      <c r="W2" s="104"/>
      <c r="X2" s="104" t="str">
        <f>改版履歴!X2</f>
        <v>プログラム</v>
      </c>
      <c r="Y2" s="104"/>
      <c r="Z2" s="104"/>
      <c r="AA2" s="104"/>
      <c r="AB2" s="104"/>
      <c r="AC2" s="104"/>
      <c r="AD2" s="105" t="str">
        <f ca="1">MID(CELL("filename",$A$1),FIND("]",CELL("filename",$A$1))+1,31)</f>
        <v>④楽曲管理画面</v>
      </c>
      <c r="AE2" s="106"/>
      <c r="AF2" s="106"/>
      <c r="AG2" s="106"/>
      <c r="AH2" s="106"/>
      <c r="AI2" s="106"/>
      <c r="AJ2" s="106"/>
      <c r="AK2" s="107"/>
      <c r="AL2" s="111" t="s">
        <v>4</v>
      </c>
      <c r="AM2" s="112"/>
      <c r="AN2" s="112"/>
      <c r="AO2" s="113"/>
      <c r="AP2" s="111" t="s">
        <v>5</v>
      </c>
      <c r="AQ2" s="112"/>
      <c r="AR2" s="112"/>
      <c r="AS2" s="113"/>
      <c r="AT2" s="114" t="s">
        <v>6</v>
      </c>
      <c r="AU2" s="115"/>
      <c r="AV2" s="115"/>
      <c r="AW2" s="115"/>
      <c r="AX2" s="116"/>
      <c r="AY2" s="117" t="s">
        <v>7</v>
      </c>
      <c r="AZ2" s="118"/>
      <c r="BA2" s="118"/>
      <c r="BB2" s="119"/>
      <c r="BC2" s="37"/>
    </row>
    <row r="3" spans="1:55" s="38" customFormat="1" ht="20.25" customHeight="1" thickBot="1">
      <c r="A3" s="37"/>
      <c r="B3" s="100"/>
      <c r="C3" s="101"/>
      <c r="D3" s="101"/>
      <c r="E3" s="101"/>
      <c r="F3" s="101"/>
      <c r="G3" s="101"/>
      <c r="H3" s="101"/>
      <c r="I3" s="101"/>
      <c r="J3" s="101"/>
      <c r="K3" s="102"/>
      <c r="L3" s="39" t="s">
        <v>8</v>
      </c>
      <c r="M3" s="120" t="str">
        <f>IF(改版履歴!M3=0,"",改版履歴!M3)</f>
        <v/>
      </c>
      <c r="N3" s="121"/>
      <c r="O3" s="121"/>
      <c r="P3" s="121"/>
      <c r="Q3" s="122"/>
      <c r="R3" s="40" t="s">
        <v>8</v>
      </c>
      <c r="S3" s="120" t="str">
        <f>IF(改版履歴!S3=0,"",改版履歴!S3)</f>
        <v/>
      </c>
      <c r="T3" s="121"/>
      <c r="U3" s="121"/>
      <c r="V3" s="121"/>
      <c r="W3" s="122"/>
      <c r="X3" s="40" t="s">
        <v>8</v>
      </c>
      <c r="Y3" s="120" t="str">
        <f>IF(改版履歴!Y3=0,"",改版履歴!Y3)</f>
        <v/>
      </c>
      <c r="Z3" s="121"/>
      <c r="AA3" s="121"/>
      <c r="AB3" s="121"/>
      <c r="AC3" s="122"/>
      <c r="AD3" s="108"/>
      <c r="AE3" s="109"/>
      <c r="AF3" s="109"/>
      <c r="AG3" s="109"/>
      <c r="AH3" s="109"/>
      <c r="AI3" s="109"/>
      <c r="AJ3" s="109"/>
      <c r="AK3" s="110"/>
      <c r="AL3" s="123">
        <f>改版履歴!AL3</f>
        <v>46139</v>
      </c>
      <c r="AM3" s="124"/>
      <c r="AN3" s="124"/>
      <c r="AO3" s="125"/>
      <c r="AP3" s="123">
        <f>改版履歴!AP3</f>
        <v>46177</v>
      </c>
      <c r="AQ3" s="124"/>
      <c r="AR3" s="124"/>
      <c r="AS3" s="125"/>
      <c r="AT3" s="126" t="str">
        <f>改版履歴!AT3</f>
        <v>野村　翼</v>
      </c>
      <c r="AU3" s="127"/>
      <c r="AV3" s="127"/>
      <c r="AW3" s="127"/>
      <c r="AX3" s="128"/>
      <c r="AY3" s="111" t="str">
        <f>改版履歴!AY3</f>
        <v>第1.6版</v>
      </c>
      <c r="AZ3" s="112"/>
      <c r="BA3" s="112"/>
      <c r="BB3" s="113"/>
      <c r="BC3" s="37"/>
    </row>
    <row r="4" spans="1:55" s="38" customFormat="1" ht="6.75" customHeight="1" thickTop="1" thickBot="1">
      <c r="A4" s="41"/>
      <c r="B4" s="41"/>
      <c r="C4" s="131"/>
      <c r="D4" s="131"/>
      <c r="E4" s="131"/>
      <c r="F4" s="131"/>
      <c r="G4" s="131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42"/>
      <c r="AG4" s="42"/>
      <c r="AH4" s="42"/>
      <c r="AI4" s="133"/>
      <c r="AJ4" s="133"/>
      <c r="AK4" s="42"/>
      <c r="AL4" s="133"/>
      <c r="AM4" s="133"/>
      <c r="AN4" s="133"/>
      <c r="AO4" s="133"/>
      <c r="AP4" s="133"/>
      <c r="AQ4" s="133"/>
      <c r="AR4" s="133"/>
      <c r="AS4" s="133"/>
      <c r="AT4" s="133"/>
      <c r="AU4" s="133"/>
      <c r="AV4" s="133"/>
      <c r="AW4" s="133"/>
      <c r="AX4" s="133"/>
      <c r="AY4" s="133"/>
      <c r="AZ4" s="133"/>
      <c r="BA4" s="133"/>
      <c r="BB4" s="42"/>
      <c r="BC4" s="41"/>
    </row>
    <row r="5" spans="1:55" s="43" customFormat="1" ht="16.5" thickBot="1">
      <c r="B5" s="218" t="s">
        <v>15</v>
      </c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19"/>
      <c r="X5" s="219"/>
      <c r="Y5" s="219"/>
      <c r="Z5" s="219"/>
      <c r="AA5" s="219"/>
      <c r="AB5" s="219"/>
      <c r="AC5" s="219"/>
      <c r="AD5" s="219"/>
      <c r="AE5" s="220"/>
      <c r="AF5" s="220"/>
      <c r="AG5" s="220"/>
      <c r="AH5" s="220"/>
      <c r="AI5" s="219"/>
      <c r="AJ5" s="219"/>
      <c r="AK5" s="219"/>
      <c r="AL5" s="219"/>
      <c r="AM5" s="219"/>
      <c r="AN5" s="219"/>
      <c r="AO5" s="219"/>
      <c r="AP5" s="219"/>
      <c r="AQ5" s="219"/>
      <c r="AR5" s="219"/>
      <c r="AS5" s="219"/>
      <c r="AT5" s="219"/>
      <c r="AU5" s="219"/>
      <c r="AV5" s="219"/>
      <c r="AW5" s="219"/>
      <c r="AX5" s="219"/>
      <c r="AY5" s="219"/>
      <c r="AZ5" s="219"/>
      <c r="BA5" s="219"/>
      <c r="BB5" s="221"/>
    </row>
    <row r="6" spans="1:55" ht="30.75" customHeight="1">
      <c r="B6" s="207"/>
      <c r="C6" s="208"/>
      <c r="D6" s="208"/>
      <c r="E6" s="208"/>
      <c r="F6" s="208"/>
      <c r="G6" s="208"/>
      <c r="H6" s="208"/>
      <c r="I6" s="208"/>
      <c r="J6" s="208"/>
      <c r="K6" s="208"/>
      <c r="L6" s="230"/>
      <c r="M6" s="230"/>
      <c r="N6" s="230"/>
      <c r="O6" s="230"/>
      <c r="P6" s="230"/>
      <c r="Q6" s="230"/>
      <c r="R6" s="230"/>
      <c r="S6" s="230"/>
      <c r="T6" s="230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7"/>
    </row>
    <row r="7" spans="1:55">
      <c r="B7" s="48"/>
      <c r="C7" s="222"/>
      <c r="D7" s="222"/>
      <c r="E7" s="222"/>
      <c r="F7" s="222"/>
      <c r="G7" s="222"/>
      <c r="H7" s="222"/>
      <c r="I7" s="222"/>
      <c r="J7" s="222"/>
      <c r="K7" s="222"/>
      <c r="L7" s="222"/>
      <c r="M7" s="222"/>
      <c r="N7" s="222"/>
      <c r="O7" s="222"/>
      <c r="P7" s="222"/>
      <c r="Q7" s="222"/>
      <c r="R7" s="222"/>
      <c r="S7" s="222"/>
      <c r="T7" s="222"/>
      <c r="U7" s="222"/>
      <c r="V7" s="222"/>
      <c r="W7" s="222"/>
      <c r="X7" s="222"/>
      <c r="Y7" s="222"/>
      <c r="Z7" s="222"/>
      <c r="AA7" s="222"/>
      <c r="AB7" s="222"/>
      <c r="AC7" s="222"/>
      <c r="AD7" s="222"/>
      <c r="AE7" s="222"/>
      <c r="AF7" s="222"/>
      <c r="AG7" s="222"/>
      <c r="AH7" s="222"/>
      <c r="AI7" s="222"/>
      <c r="AJ7" s="222"/>
      <c r="AK7" s="222"/>
      <c r="AL7" s="222"/>
      <c r="AM7" s="222"/>
      <c r="AN7" s="222"/>
      <c r="AO7" s="222"/>
      <c r="AP7" s="222"/>
      <c r="AQ7" s="222"/>
      <c r="AR7" s="222"/>
      <c r="AS7" s="222"/>
      <c r="AT7" s="222"/>
      <c r="AU7" s="222"/>
      <c r="AV7" s="222"/>
      <c r="AW7" s="222"/>
      <c r="AX7" s="222"/>
      <c r="AY7" s="222"/>
      <c r="AZ7" s="222"/>
      <c r="BA7" s="222"/>
      <c r="BB7" s="49"/>
    </row>
    <row r="8" spans="1:55">
      <c r="B8" s="48"/>
      <c r="C8" s="222"/>
      <c r="D8" s="222"/>
      <c r="E8" s="222"/>
      <c r="F8" s="222"/>
      <c r="G8" s="222"/>
      <c r="H8" s="222"/>
      <c r="I8" s="222"/>
      <c r="J8" s="222"/>
      <c r="K8" s="222"/>
      <c r="L8" s="222"/>
      <c r="M8" s="222"/>
      <c r="N8" s="222"/>
      <c r="O8" s="222"/>
      <c r="P8" s="222"/>
      <c r="Q8" s="222"/>
      <c r="R8" s="222"/>
      <c r="S8" s="222"/>
      <c r="T8" s="222"/>
      <c r="U8" s="222"/>
      <c r="V8" s="222"/>
      <c r="W8" s="222"/>
      <c r="X8" s="222"/>
      <c r="Y8" s="222"/>
      <c r="Z8" s="222"/>
      <c r="AA8" s="222"/>
      <c r="AB8" s="222"/>
      <c r="AC8" s="222"/>
      <c r="AD8" s="222"/>
      <c r="AE8" s="222"/>
      <c r="AF8" s="222"/>
      <c r="AG8" s="222"/>
      <c r="AH8" s="222"/>
      <c r="AI8" s="222"/>
      <c r="AJ8" s="222"/>
      <c r="AK8" s="222"/>
      <c r="AL8" s="222"/>
      <c r="AM8" s="222"/>
      <c r="AN8" s="222"/>
      <c r="AO8" s="222"/>
      <c r="AP8" s="222"/>
      <c r="AQ8" s="222"/>
      <c r="AR8" s="222"/>
      <c r="AS8" s="222"/>
      <c r="AT8" s="222"/>
      <c r="AU8" s="222"/>
      <c r="AV8" s="222"/>
      <c r="AW8" s="222"/>
      <c r="AX8" s="222"/>
      <c r="AY8" s="222"/>
      <c r="AZ8" s="222"/>
      <c r="BA8" s="222"/>
      <c r="BB8" s="49"/>
    </row>
    <row r="9" spans="1:55">
      <c r="B9" s="48"/>
      <c r="C9" s="222"/>
      <c r="D9" s="222"/>
      <c r="E9" s="222"/>
      <c r="F9" s="222"/>
      <c r="G9" s="222"/>
      <c r="H9" s="222"/>
      <c r="I9" s="222"/>
      <c r="J9" s="222"/>
      <c r="K9" s="222"/>
      <c r="L9" s="222"/>
      <c r="M9" s="222"/>
      <c r="N9" s="222"/>
      <c r="O9" s="222"/>
      <c r="P9" s="222"/>
      <c r="Q9" s="222"/>
      <c r="R9" s="222"/>
      <c r="S9" s="222"/>
      <c r="T9" s="222"/>
      <c r="U9" s="222"/>
      <c r="V9" s="222"/>
      <c r="W9" s="222"/>
      <c r="X9" s="222"/>
      <c r="Y9" s="222"/>
      <c r="Z9" s="222"/>
      <c r="AA9" s="222"/>
      <c r="AB9" s="222"/>
      <c r="AC9" s="222"/>
      <c r="AD9" s="222"/>
      <c r="AE9" s="222"/>
      <c r="AF9" s="222"/>
      <c r="AG9" s="222"/>
      <c r="AH9" s="222"/>
      <c r="AI9" s="222"/>
      <c r="AJ9" s="222"/>
      <c r="AK9" s="222"/>
      <c r="AL9" s="222"/>
      <c r="AM9" s="222"/>
      <c r="AN9" s="222"/>
      <c r="AO9" s="222"/>
      <c r="AP9" s="222"/>
      <c r="AQ9" s="222"/>
      <c r="AR9" s="222"/>
      <c r="AS9" s="222"/>
      <c r="AT9" s="222"/>
      <c r="AU9" s="222"/>
      <c r="AV9" s="222"/>
      <c r="AW9" s="222"/>
      <c r="AX9" s="222"/>
      <c r="AY9" s="222"/>
      <c r="AZ9" s="222"/>
      <c r="BA9" s="222"/>
      <c r="BB9" s="49"/>
    </row>
    <row r="10" spans="1:55" ht="15.75" customHeight="1">
      <c r="B10" s="48"/>
      <c r="C10" s="222"/>
      <c r="D10" s="222"/>
      <c r="E10" s="222"/>
      <c r="F10" s="223"/>
      <c r="G10" s="223"/>
      <c r="H10" s="223"/>
      <c r="I10" s="223"/>
      <c r="J10" s="223"/>
      <c r="K10" s="223"/>
      <c r="L10" s="223"/>
      <c r="M10" s="223"/>
      <c r="N10" s="223"/>
      <c r="O10" s="223"/>
      <c r="P10" s="223"/>
      <c r="Q10" s="223"/>
      <c r="R10" s="223"/>
      <c r="S10" s="223"/>
      <c r="T10" s="223"/>
      <c r="U10" s="223"/>
      <c r="V10" s="223"/>
      <c r="W10" s="223"/>
      <c r="X10" s="223"/>
      <c r="Y10" s="223"/>
      <c r="Z10" s="223"/>
      <c r="AA10" s="222"/>
      <c r="AB10" s="222"/>
      <c r="AC10" s="224"/>
      <c r="AD10" s="224"/>
      <c r="AE10" s="224"/>
      <c r="AF10" s="224"/>
      <c r="AG10" s="224"/>
      <c r="AH10" s="224"/>
      <c r="AI10" s="224"/>
      <c r="AJ10" s="224"/>
      <c r="AK10" s="224"/>
      <c r="AL10" s="224"/>
      <c r="AM10" s="224"/>
      <c r="AN10" s="224"/>
      <c r="AO10" s="224"/>
      <c r="AP10" s="224"/>
      <c r="AQ10" s="224"/>
      <c r="AR10" s="224"/>
      <c r="AS10" s="224"/>
      <c r="AT10" s="224"/>
      <c r="AU10" s="224"/>
      <c r="AV10" s="224"/>
      <c r="AW10" s="224"/>
      <c r="AX10" s="222"/>
      <c r="AY10" s="222"/>
      <c r="AZ10" s="222"/>
      <c r="BA10" s="222"/>
      <c r="BB10" s="49"/>
    </row>
    <row r="11" spans="1:55" ht="15.75" customHeight="1">
      <c r="B11" s="48"/>
      <c r="C11" s="222"/>
      <c r="D11" s="222"/>
      <c r="E11" s="222"/>
      <c r="F11" s="223"/>
      <c r="G11" s="223"/>
      <c r="H11" s="223"/>
      <c r="I11" s="223"/>
      <c r="J11" s="223"/>
      <c r="K11" s="223"/>
      <c r="L11" s="223"/>
      <c r="M11" s="223"/>
      <c r="N11" s="223"/>
      <c r="O11" s="223"/>
      <c r="P11" s="223"/>
      <c r="Q11" s="223"/>
      <c r="R11" s="223"/>
      <c r="S11" s="223"/>
      <c r="T11" s="223"/>
      <c r="U11" s="223"/>
      <c r="V11" s="223"/>
      <c r="W11" s="223"/>
      <c r="X11" s="223"/>
      <c r="Y11" s="223"/>
      <c r="Z11" s="223"/>
      <c r="AA11" s="222"/>
      <c r="AB11" s="222"/>
      <c r="AC11" s="224"/>
      <c r="AD11" s="224"/>
      <c r="AE11" s="224"/>
      <c r="AF11" s="224"/>
      <c r="AG11" s="224"/>
      <c r="AH11" s="224"/>
      <c r="AI11" s="224"/>
      <c r="AJ11" s="224"/>
      <c r="AK11" s="224"/>
      <c r="AL11" s="224"/>
      <c r="AM11" s="224"/>
      <c r="AN11" s="224"/>
      <c r="AO11" s="224"/>
      <c r="AP11" s="224"/>
      <c r="AQ11" s="224"/>
      <c r="AR11" s="224"/>
      <c r="AS11" s="224"/>
      <c r="AT11" s="224"/>
      <c r="AU11" s="224"/>
      <c r="AV11" s="224"/>
      <c r="AW11" s="224"/>
      <c r="AX11" s="222"/>
      <c r="AY11" s="222"/>
      <c r="AZ11" s="222"/>
      <c r="BA11" s="222"/>
      <c r="BB11" s="49"/>
    </row>
    <row r="12" spans="1:55">
      <c r="B12" s="48"/>
      <c r="C12" s="222"/>
      <c r="D12" s="222"/>
      <c r="E12" s="222"/>
      <c r="F12" s="222"/>
      <c r="G12" s="222"/>
      <c r="H12" s="222"/>
      <c r="I12" s="222"/>
      <c r="J12" s="222"/>
      <c r="K12" s="222"/>
      <c r="L12" s="222"/>
      <c r="M12" s="222"/>
      <c r="N12" s="222"/>
      <c r="O12" s="222"/>
      <c r="P12" s="222"/>
      <c r="Q12" s="222"/>
      <c r="R12" s="222"/>
      <c r="S12" s="222"/>
      <c r="T12" s="222"/>
      <c r="U12" s="222"/>
      <c r="V12" s="222"/>
      <c r="W12" s="222"/>
      <c r="X12" s="222"/>
      <c r="Y12" s="222"/>
      <c r="Z12" s="222"/>
      <c r="AA12" s="222"/>
      <c r="AB12" s="222"/>
      <c r="AC12" s="222"/>
      <c r="AD12" s="222"/>
      <c r="AE12" s="222"/>
      <c r="AF12" s="222"/>
      <c r="AG12" s="222"/>
      <c r="AH12" s="222"/>
      <c r="AI12" s="222"/>
      <c r="AJ12" s="222"/>
      <c r="AK12" s="222"/>
      <c r="AL12" s="222"/>
      <c r="AM12" s="222"/>
      <c r="AN12" s="222"/>
      <c r="AO12" s="222"/>
      <c r="AP12" s="222"/>
      <c r="AQ12" s="222"/>
      <c r="AR12" s="222"/>
      <c r="AS12" s="222"/>
      <c r="AT12" s="222"/>
      <c r="AU12" s="222"/>
      <c r="AV12" s="222"/>
      <c r="AW12" s="222"/>
      <c r="AX12" s="222"/>
      <c r="AY12" s="222"/>
      <c r="AZ12" s="222"/>
      <c r="BA12" s="222"/>
      <c r="BB12" s="49"/>
    </row>
    <row r="13" spans="1:55" ht="15.75" customHeight="1">
      <c r="B13" s="48"/>
      <c r="C13" s="222"/>
      <c r="D13" s="222"/>
      <c r="E13" s="222"/>
      <c r="F13" s="222"/>
      <c r="G13" s="222"/>
      <c r="H13" s="222"/>
      <c r="I13" s="222"/>
      <c r="J13" s="225"/>
      <c r="K13" s="225"/>
      <c r="L13" s="225"/>
      <c r="M13" s="225"/>
      <c r="N13" s="225"/>
      <c r="O13" s="225"/>
      <c r="P13" s="225"/>
      <c r="Q13" s="225"/>
      <c r="R13" s="225"/>
      <c r="S13" s="225"/>
      <c r="T13" s="225"/>
      <c r="U13" s="227"/>
      <c r="V13" s="227"/>
      <c r="W13" s="227"/>
      <c r="X13" s="227"/>
      <c r="Y13" s="227"/>
      <c r="Z13" s="227"/>
      <c r="AA13" s="227"/>
      <c r="AB13" s="227"/>
      <c r="AC13" s="227"/>
      <c r="AD13" s="226"/>
      <c r="AE13" s="228"/>
      <c r="AF13" s="228"/>
      <c r="AG13" s="228"/>
      <c r="AH13" s="228"/>
      <c r="AI13" s="228"/>
      <c r="AJ13" s="228"/>
      <c r="AK13" s="228"/>
      <c r="AL13" s="225"/>
      <c r="AM13" s="225"/>
      <c r="AN13" s="225"/>
      <c r="AO13" s="225"/>
      <c r="AP13" s="225"/>
      <c r="AQ13" s="225"/>
      <c r="AR13" s="225"/>
      <c r="AS13" s="222"/>
      <c r="AT13" s="222"/>
      <c r="AU13" s="222"/>
      <c r="AV13" s="222"/>
      <c r="AW13" s="222"/>
      <c r="AX13" s="222"/>
      <c r="AY13" s="222"/>
      <c r="AZ13" s="222"/>
      <c r="BA13" s="222"/>
      <c r="BB13" s="49"/>
    </row>
    <row r="14" spans="1:55" ht="16.5" customHeight="1">
      <c r="B14" s="48"/>
      <c r="C14" s="222"/>
      <c r="D14" s="222"/>
      <c r="E14" s="222"/>
      <c r="F14" s="222"/>
      <c r="G14" s="222"/>
      <c r="H14" s="222"/>
      <c r="I14" s="222"/>
      <c r="J14" s="225"/>
      <c r="K14" s="225"/>
      <c r="L14" s="225"/>
      <c r="M14" s="225"/>
      <c r="N14" s="225"/>
      <c r="O14" s="225"/>
      <c r="P14" s="225"/>
      <c r="Q14" s="225"/>
      <c r="R14" s="225"/>
      <c r="S14" s="225"/>
      <c r="T14" s="227"/>
      <c r="U14" s="227"/>
      <c r="V14" s="227"/>
      <c r="W14" s="227"/>
      <c r="X14" s="227"/>
      <c r="Y14" s="227"/>
      <c r="Z14" s="227"/>
      <c r="AA14" s="227"/>
      <c r="AB14" s="227"/>
      <c r="AC14" s="227"/>
      <c r="AD14" s="228"/>
      <c r="AE14" s="228"/>
      <c r="AF14" s="228"/>
      <c r="AG14" s="228"/>
      <c r="AH14" s="228"/>
      <c r="AI14" s="228"/>
      <c r="AJ14" s="228"/>
      <c r="AK14" s="228"/>
      <c r="AL14" s="225"/>
      <c r="AM14" s="225"/>
      <c r="AN14" s="225"/>
      <c r="AO14" s="225"/>
      <c r="AP14" s="225"/>
      <c r="AQ14" s="225"/>
      <c r="AR14" s="225"/>
      <c r="AS14" s="222"/>
      <c r="AT14" s="222"/>
      <c r="AU14" s="222"/>
      <c r="AV14" s="222"/>
      <c r="AW14" s="222"/>
      <c r="AX14" s="222"/>
      <c r="AY14" s="222"/>
      <c r="AZ14" s="222"/>
      <c r="BA14" s="222"/>
      <c r="BB14" s="49"/>
    </row>
    <row r="15" spans="1:55">
      <c r="B15" s="48"/>
      <c r="C15" s="222"/>
      <c r="D15" s="222"/>
      <c r="E15" s="222"/>
      <c r="F15" s="222"/>
      <c r="G15" s="222"/>
      <c r="H15" s="222"/>
      <c r="I15" s="222"/>
      <c r="J15" s="225"/>
      <c r="K15" s="225"/>
      <c r="L15" s="225"/>
      <c r="M15" s="225"/>
      <c r="N15" s="225"/>
      <c r="O15" s="225"/>
      <c r="P15" s="225"/>
      <c r="Q15" s="225"/>
      <c r="R15" s="225"/>
      <c r="S15" s="225"/>
      <c r="T15" s="225"/>
      <c r="U15" s="227"/>
      <c r="V15" s="227"/>
      <c r="W15" s="227"/>
      <c r="X15" s="227"/>
      <c r="Y15" s="227"/>
      <c r="Z15" s="227"/>
      <c r="AA15" s="227"/>
      <c r="AB15" s="227"/>
      <c r="AC15" s="227"/>
      <c r="AD15" s="226"/>
      <c r="AE15" s="228"/>
      <c r="AF15" s="228"/>
      <c r="AG15" s="228"/>
      <c r="AH15" s="228"/>
      <c r="AI15" s="228"/>
      <c r="AJ15" s="228"/>
      <c r="AK15" s="228"/>
      <c r="AL15" s="225"/>
      <c r="AM15" s="225"/>
      <c r="AN15" s="225"/>
      <c r="AO15" s="225"/>
      <c r="AP15" s="225"/>
      <c r="AQ15" s="225"/>
      <c r="AR15" s="225"/>
      <c r="AS15" s="222"/>
      <c r="AT15" s="222"/>
      <c r="AU15" s="222"/>
      <c r="AV15" s="222"/>
      <c r="AW15" s="222"/>
      <c r="AX15" s="222"/>
      <c r="AY15" s="222"/>
      <c r="AZ15" s="222"/>
      <c r="BA15" s="222"/>
      <c r="BB15" s="49"/>
    </row>
    <row r="16" spans="1:55" ht="15.75" customHeight="1">
      <c r="B16" s="48"/>
      <c r="C16" s="222"/>
      <c r="D16" s="222"/>
      <c r="E16" s="222"/>
      <c r="F16" s="222"/>
      <c r="G16" s="222"/>
      <c r="H16" s="222"/>
      <c r="I16" s="222"/>
      <c r="J16" s="225"/>
      <c r="K16" s="225"/>
      <c r="L16" s="225"/>
      <c r="M16" s="225"/>
      <c r="N16" s="225"/>
      <c r="O16" s="225"/>
      <c r="P16" s="225"/>
      <c r="Q16" s="225"/>
      <c r="R16" s="225"/>
      <c r="S16" s="225"/>
      <c r="T16" s="227"/>
      <c r="U16" s="227"/>
      <c r="V16" s="227"/>
      <c r="W16" s="227"/>
      <c r="X16" s="227"/>
      <c r="Y16" s="227"/>
      <c r="Z16" s="227"/>
      <c r="AA16" s="227"/>
      <c r="AB16" s="227"/>
      <c r="AC16" s="227"/>
      <c r="AD16" s="228"/>
      <c r="AE16" s="228"/>
      <c r="AF16" s="228"/>
      <c r="AG16" s="228"/>
      <c r="AH16" s="228"/>
      <c r="AI16" s="228"/>
      <c r="AJ16" s="228"/>
      <c r="AK16" s="228"/>
      <c r="AL16" s="225"/>
      <c r="AM16" s="225"/>
      <c r="AN16" s="225"/>
      <c r="AO16" s="225"/>
      <c r="AP16" s="225"/>
      <c r="AQ16" s="225"/>
      <c r="AR16" s="225"/>
      <c r="AS16" s="222"/>
      <c r="AT16" s="222"/>
      <c r="AU16" s="222"/>
      <c r="AV16" s="222"/>
      <c r="AW16" s="222"/>
      <c r="AX16" s="222"/>
      <c r="AY16" s="222"/>
      <c r="AZ16" s="222"/>
      <c r="BA16" s="222"/>
      <c r="BB16" s="49"/>
    </row>
    <row r="17" spans="2:54" ht="15.75" customHeight="1">
      <c r="B17" s="48"/>
      <c r="C17" s="222"/>
      <c r="D17" s="222"/>
      <c r="E17" s="222"/>
      <c r="F17" s="222"/>
      <c r="G17" s="222"/>
      <c r="H17" s="222"/>
      <c r="I17" s="222"/>
      <c r="J17" s="225"/>
      <c r="K17" s="225"/>
      <c r="L17" s="225"/>
      <c r="M17" s="225"/>
      <c r="N17" s="225"/>
      <c r="O17" s="225"/>
      <c r="P17" s="225"/>
      <c r="Q17" s="225"/>
      <c r="R17" s="225"/>
      <c r="S17" s="225"/>
      <c r="T17" s="225"/>
      <c r="U17" s="225"/>
      <c r="V17" s="225"/>
      <c r="W17" s="225"/>
      <c r="X17" s="225"/>
      <c r="Y17" s="225"/>
      <c r="Z17" s="225"/>
      <c r="AA17" s="225"/>
      <c r="AB17" s="225"/>
      <c r="AC17" s="225"/>
      <c r="AD17" s="226"/>
      <c r="AE17" s="226"/>
      <c r="AF17" s="226"/>
      <c r="AG17" s="226"/>
      <c r="AH17" s="226"/>
      <c r="AI17" s="226"/>
      <c r="AJ17" s="226"/>
      <c r="AK17" s="226"/>
      <c r="AL17" s="225"/>
      <c r="AM17" s="225"/>
      <c r="AN17" s="225"/>
      <c r="AO17" s="225"/>
      <c r="AP17" s="225"/>
      <c r="AQ17" s="225"/>
      <c r="AR17" s="225"/>
      <c r="AS17" s="231"/>
      <c r="AT17" s="231"/>
      <c r="AU17" s="222"/>
      <c r="AV17" s="222"/>
      <c r="AW17" s="222"/>
      <c r="AX17" s="222"/>
      <c r="AY17" s="222"/>
      <c r="AZ17" s="222"/>
      <c r="BA17" s="222"/>
      <c r="BB17" s="49"/>
    </row>
    <row r="18" spans="2:54" ht="15.75" customHeight="1">
      <c r="B18" s="48"/>
      <c r="C18" s="222"/>
      <c r="D18" s="222"/>
      <c r="E18" s="222"/>
      <c r="F18" s="222"/>
      <c r="G18" s="222"/>
      <c r="H18" s="222"/>
      <c r="I18" s="222"/>
      <c r="J18" s="225"/>
      <c r="K18" s="225"/>
      <c r="L18" s="225"/>
      <c r="M18" s="225"/>
      <c r="N18" s="225"/>
      <c r="O18" s="225"/>
      <c r="P18" s="225"/>
      <c r="Q18" s="225"/>
      <c r="R18" s="225"/>
      <c r="S18" s="225"/>
      <c r="T18" s="225"/>
      <c r="U18" s="225"/>
      <c r="V18" s="225"/>
      <c r="W18" s="225"/>
      <c r="X18" s="225"/>
      <c r="Y18" s="225"/>
      <c r="Z18" s="225"/>
      <c r="AA18" s="225"/>
      <c r="AB18" s="225"/>
      <c r="AC18" s="225"/>
      <c r="AD18" s="226"/>
      <c r="AE18" s="226"/>
      <c r="AF18" s="226"/>
      <c r="AG18" s="226"/>
      <c r="AH18" s="226"/>
      <c r="AI18" s="226"/>
      <c r="AJ18" s="226"/>
      <c r="AK18" s="226"/>
      <c r="AL18" s="225"/>
      <c r="AM18" s="225"/>
      <c r="AN18" s="225"/>
      <c r="AO18" s="225"/>
      <c r="AP18" s="225"/>
      <c r="AQ18" s="225"/>
      <c r="AR18" s="225"/>
      <c r="AS18" s="231"/>
      <c r="AT18" s="231"/>
      <c r="AU18" s="222"/>
      <c r="AV18" s="222"/>
      <c r="AW18" s="222"/>
      <c r="AX18" s="222"/>
      <c r="AY18" s="222"/>
      <c r="AZ18" s="222"/>
      <c r="BA18" s="222"/>
      <c r="BB18" s="49"/>
    </row>
    <row r="19" spans="2:54" ht="15.75" customHeight="1">
      <c r="B19" s="48"/>
      <c r="C19" s="222"/>
      <c r="D19" s="222"/>
      <c r="E19" s="222"/>
      <c r="F19" s="222"/>
      <c r="G19" s="222"/>
      <c r="H19" s="222"/>
      <c r="I19" s="222"/>
      <c r="J19" s="225"/>
      <c r="K19" s="225"/>
      <c r="L19" s="225"/>
      <c r="M19" s="225"/>
      <c r="N19" s="225"/>
      <c r="O19" s="225"/>
      <c r="P19" s="225"/>
      <c r="Q19" s="225"/>
      <c r="R19" s="225"/>
      <c r="S19" s="225"/>
      <c r="T19" s="225"/>
      <c r="U19" s="227"/>
      <c r="V19" s="227"/>
      <c r="W19" s="227"/>
      <c r="X19" s="227"/>
      <c r="Y19" s="227"/>
      <c r="Z19" s="227"/>
      <c r="AA19" s="227"/>
      <c r="AB19" s="227"/>
      <c r="AC19" s="227"/>
      <c r="AD19" s="226"/>
      <c r="AE19" s="228"/>
      <c r="AF19" s="228"/>
      <c r="AG19" s="228"/>
      <c r="AH19" s="228"/>
      <c r="AI19" s="228"/>
      <c r="AJ19" s="228"/>
      <c r="AK19" s="228"/>
      <c r="AL19" s="225"/>
      <c r="AM19" s="225"/>
      <c r="AN19" s="225"/>
      <c r="AO19" s="225"/>
      <c r="AP19" s="225"/>
      <c r="AQ19" s="225"/>
      <c r="AR19" s="225"/>
      <c r="AS19" s="231"/>
      <c r="AT19" s="231"/>
      <c r="AU19" s="222"/>
      <c r="AV19" s="222"/>
      <c r="AW19" s="222"/>
      <c r="AX19" s="222"/>
      <c r="AY19" s="222"/>
      <c r="AZ19" s="222"/>
      <c r="BA19" s="222"/>
      <c r="BB19" s="49"/>
    </row>
    <row r="20" spans="2:54" ht="15.75" customHeight="1">
      <c r="B20" s="48"/>
      <c r="C20" s="222"/>
      <c r="D20" s="222"/>
      <c r="E20" s="222"/>
      <c r="F20" s="222"/>
      <c r="G20" s="222"/>
      <c r="H20" s="222"/>
      <c r="I20" s="222"/>
      <c r="J20" s="225"/>
      <c r="K20" s="225"/>
      <c r="L20" s="225"/>
      <c r="M20" s="225"/>
      <c r="N20" s="225"/>
      <c r="O20" s="225"/>
      <c r="P20" s="225"/>
      <c r="Q20" s="225"/>
      <c r="R20" s="225"/>
      <c r="S20" s="225"/>
      <c r="T20" s="227"/>
      <c r="U20" s="227"/>
      <c r="V20" s="227"/>
      <c r="W20" s="227"/>
      <c r="X20" s="227"/>
      <c r="Y20" s="227"/>
      <c r="Z20" s="227"/>
      <c r="AA20" s="227"/>
      <c r="AB20" s="227"/>
      <c r="AC20" s="227"/>
      <c r="AD20" s="228"/>
      <c r="AE20" s="228"/>
      <c r="AF20" s="228"/>
      <c r="AG20" s="228"/>
      <c r="AH20" s="228"/>
      <c r="AI20" s="228"/>
      <c r="AJ20" s="228"/>
      <c r="AK20" s="228"/>
      <c r="AL20" s="225"/>
      <c r="AM20" s="225"/>
      <c r="AN20" s="225"/>
      <c r="AO20" s="225"/>
      <c r="AP20" s="225"/>
      <c r="AQ20" s="225"/>
      <c r="AR20" s="225"/>
      <c r="AS20" s="231"/>
      <c r="AT20" s="231"/>
      <c r="AU20" s="222"/>
      <c r="AV20" s="222"/>
      <c r="AW20" s="222"/>
      <c r="AX20" s="222"/>
      <c r="AY20" s="222"/>
      <c r="AZ20" s="222"/>
      <c r="BA20" s="222"/>
      <c r="BB20" s="49"/>
    </row>
    <row r="21" spans="2:54">
      <c r="B21" s="48"/>
      <c r="C21" s="222"/>
      <c r="D21" s="222"/>
      <c r="E21" s="222"/>
      <c r="F21" s="222"/>
      <c r="G21" s="222"/>
      <c r="H21" s="222"/>
      <c r="I21" s="222"/>
      <c r="J21" s="225"/>
      <c r="K21" s="225"/>
      <c r="L21" s="225"/>
      <c r="M21" s="225"/>
      <c r="N21" s="225"/>
      <c r="O21" s="225"/>
      <c r="P21" s="225"/>
      <c r="Q21" s="225"/>
      <c r="R21" s="225"/>
      <c r="S21" s="225"/>
      <c r="T21" s="225"/>
      <c r="U21" s="227"/>
      <c r="V21" s="227"/>
      <c r="W21" s="227"/>
      <c r="X21" s="227"/>
      <c r="Y21" s="227"/>
      <c r="Z21" s="227"/>
      <c r="AA21" s="227"/>
      <c r="AB21" s="227"/>
      <c r="AC21" s="227"/>
      <c r="AD21" s="226"/>
      <c r="AE21" s="228"/>
      <c r="AF21" s="228"/>
      <c r="AG21" s="228"/>
      <c r="AH21" s="228"/>
      <c r="AI21" s="228"/>
      <c r="AJ21" s="228"/>
      <c r="AK21" s="228"/>
      <c r="AL21" s="225"/>
      <c r="AM21" s="225"/>
      <c r="AN21" s="225"/>
      <c r="AO21" s="225"/>
      <c r="AP21" s="225"/>
      <c r="AQ21" s="225"/>
      <c r="AR21" s="225"/>
      <c r="AS21" s="231"/>
      <c r="AT21" s="231"/>
      <c r="AU21" s="222"/>
      <c r="AV21" s="222"/>
      <c r="AW21" s="222"/>
      <c r="AX21" s="222"/>
      <c r="AY21" s="222"/>
      <c r="AZ21" s="222"/>
      <c r="BA21" s="222"/>
      <c r="BB21" s="49"/>
    </row>
    <row r="22" spans="2:54" ht="15.75" customHeight="1">
      <c r="B22" s="48"/>
      <c r="C22" s="222"/>
      <c r="D22" s="222"/>
      <c r="E22" s="222"/>
      <c r="F22" s="222"/>
      <c r="G22" s="222"/>
      <c r="H22" s="222"/>
      <c r="I22" s="222"/>
      <c r="J22" s="225"/>
      <c r="K22" s="225"/>
      <c r="L22" s="225"/>
      <c r="M22" s="225"/>
      <c r="N22" s="225"/>
      <c r="O22" s="225"/>
      <c r="P22" s="225"/>
      <c r="Q22" s="225"/>
      <c r="R22" s="225"/>
      <c r="S22" s="225"/>
      <c r="T22" s="227"/>
      <c r="U22" s="227"/>
      <c r="V22" s="227"/>
      <c r="W22" s="227"/>
      <c r="X22" s="227"/>
      <c r="Y22" s="227"/>
      <c r="Z22" s="227"/>
      <c r="AA22" s="227"/>
      <c r="AB22" s="227"/>
      <c r="AC22" s="227"/>
      <c r="AD22" s="228"/>
      <c r="AE22" s="228"/>
      <c r="AF22" s="228"/>
      <c r="AG22" s="228"/>
      <c r="AH22" s="228"/>
      <c r="AI22" s="228"/>
      <c r="AJ22" s="228"/>
      <c r="AK22" s="228"/>
      <c r="AL22" s="225"/>
      <c r="AM22" s="225"/>
      <c r="AN22" s="225"/>
      <c r="AO22" s="225"/>
      <c r="AP22" s="225"/>
      <c r="AQ22" s="225"/>
      <c r="AR22" s="225"/>
      <c r="AS22" s="231"/>
      <c r="AT22" s="231"/>
      <c r="AU22" s="222"/>
      <c r="AV22" s="222"/>
      <c r="AW22" s="222"/>
      <c r="AX22" s="222"/>
      <c r="AY22" s="222"/>
      <c r="AZ22" s="222"/>
      <c r="BA22" s="222"/>
      <c r="BB22" s="49"/>
    </row>
    <row r="23" spans="2:54">
      <c r="B23" s="48"/>
      <c r="C23" s="222"/>
      <c r="D23" s="222"/>
      <c r="E23" s="222"/>
      <c r="F23" s="222"/>
      <c r="G23" s="222"/>
      <c r="H23" s="222"/>
      <c r="I23" s="222"/>
      <c r="J23" s="222"/>
      <c r="K23" s="222"/>
      <c r="L23" s="222"/>
      <c r="M23" s="222"/>
      <c r="N23" s="222"/>
      <c r="O23" s="222"/>
      <c r="P23" s="222"/>
      <c r="Q23" s="222"/>
      <c r="R23" s="222"/>
      <c r="S23" s="222"/>
      <c r="T23" s="222"/>
      <c r="U23" s="222"/>
      <c r="V23" s="222"/>
      <c r="W23" s="222"/>
      <c r="X23" s="222"/>
      <c r="Y23" s="222"/>
      <c r="Z23" s="222"/>
      <c r="AA23" s="222"/>
      <c r="AB23" s="222"/>
      <c r="AC23" s="222"/>
      <c r="AD23" s="222"/>
      <c r="AE23" s="222"/>
      <c r="AF23" s="222"/>
      <c r="AG23" s="222"/>
      <c r="AH23" s="222"/>
      <c r="AI23" s="222"/>
      <c r="AJ23" s="222"/>
      <c r="AK23" s="222"/>
      <c r="AL23" s="222"/>
      <c r="AM23" s="222"/>
      <c r="AN23" s="222"/>
      <c r="AO23" s="222"/>
      <c r="AP23" s="222"/>
      <c r="AQ23" s="222"/>
      <c r="AR23" s="222"/>
      <c r="AS23" s="222"/>
      <c r="AT23" s="222"/>
      <c r="AU23" s="222"/>
      <c r="AV23" s="222"/>
      <c r="AW23" s="222"/>
      <c r="AX23" s="222"/>
      <c r="AY23" s="222"/>
      <c r="AZ23" s="222"/>
      <c r="BA23" s="222"/>
      <c r="BB23" s="49"/>
    </row>
    <row r="24" spans="2:54">
      <c r="B24" s="48"/>
      <c r="C24" s="222"/>
      <c r="D24" s="222"/>
      <c r="E24" s="222"/>
      <c r="F24" s="222"/>
      <c r="G24" s="222"/>
      <c r="H24" s="222"/>
      <c r="I24" s="222"/>
      <c r="J24" s="222"/>
      <c r="K24" s="222"/>
      <c r="L24" s="222"/>
      <c r="M24" s="222"/>
      <c r="N24" s="222"/>
      <c r="O24" s="222"/>
      <c r="P24" s="222"/>
      <c r="Q24" s="222"/>
      <c r="R24" s="222"/>
      <c r="S24" s="222"/>
      <c r="T24" s="222"/>
      <c r="U24" s="222"/>
      <c r="V24" s="222"/>
      <c r="W24" s="222"/>
      <c r="X24" s="222"/>
      <c r="Y24" s="222"/>
      <c r="Z24" s="222"/>
      <c r="AA24" s="222"/>
      <c r="AB24" s="222"/>
      <c r="AC24" s="222"/>
      <c r="AD24" s="222"/>
      <c r="AE24" s="222"/>
      <c r="AF24" s="222"/>
      <c r="AG24" s="222"/>
      <c r="AH24" s="222"/>
      <c r="AI24" s="222"/>
      <c r="AJ24" s="222"/>
      <c r="AK24" s="222"/>
      <c r="AL24" s="222"/>
      <c r="AM24" s="222"/>
      <c r="AN24" s="222"/>
      <c r="AO24" s="222"/>
      <c r="AP24" s="222"/>
      <c r="AQ24" s="222"/>
      <c r="AR24" s="222"/>
      <c r="AS24" s="222"/>
      <c r="AT24" s="222"/>
      <c r="AU24" s="222"/>
      <c r="AV24" s="222"/>
      <c r="AW24" s="222"/>
      <c r="AX24" s="222"/>
      <c r="AY24" s="222"/>
      <c r="AZ24" s="222"/>
      <c r="BA24" s="222"/>
      <c r="BB24" s="49"/>
    </row>
    <row r="25" spans="2:54">
      <c r="B25" s="48"/>
      <c r="C25" s="222"/>
      <c r="D25" s="222"/>
      <c r="E25" s="222"/>
      <c r="F25" s="222"/>
      <c r="G25" s="222"/>
      <c r="H25" s="222"/>
      <c r="I25" s="222"/>
      <c r="J25" s="222"/>
      <c r="K25" s="222"/>
      <c r="L25" s="222"/>
      <c r="M25" s="222"/>
      <c r="N25" s="222"/>
      <c r="O25" s="222"/>
      <c r="P25" s="222"/>
      <c r="Q25" s="222"/>
      <c r="R25" s="222"/>
      <c r="S25" s="222"/>
      <c r="T25" s="222"/>
      <c r="U25" s="222"/>
      <c r="V25" s="222"/>
      <c r="W25" s="222"/>
      <c r="X25" s="222"/>
      <c r="Y25" s="222"/>
      <c r="Z25" s="222"/>
      <c r="AA25" s="222"/>
      <c r="AB25" s="222"/>
      <c r="AC25" s="222"/>
      <c r="AD25" s="222"/>
      <c r="AE25" s="222"/>
      <c r="AF25" s="222"/>
      <c r="AG25" s="222"/>
      <c r="AH25" s="222"/>
      <c r="AI25" s="222"/>
      <c r="AJ25" s="222"/>
      <c r="AK25" s="222"/>
      <c r="AL25" s="222"/>
      <c r="AM25" s="222"/>
      <c r="AN25" s="222"/>
      <c r="AO25" s="222"/>
      <c r="AP25" s="222"/>
      <c r="AQ25" s="222"/>
      <c r="AR25" s="222"/>
      <c r="AS25" s="222"/>
      <c r="AT25" s="222"/>
      <c r="AU25" s="222"/>
      <c r="AV25" s="222"/>
      <c r="AW25" s="222"/>
      <c r="AX25" s="222"/>
      <c r="AY25" s="222"/>
      <c r="AZ25" s="222"/>
      <c r="BA25" s="222"/>
      <c r="BB25" s="49"/>
    </row>
    <row r="26" spans="2:54">
      <c r="B26" s="48"/>
      <c r="C26" s="222"/>
      <c r="D26" s="222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222"/>
      <c r="S26" s="222"/>
      <c r="T26" s="222"/>
      <c r="U26" s="222"/>
      <c r="V26" s="222"/>
      <c r="W26" s="222"/>
      <c r="X26" s="222"/>
      <c r="Y26" s="222"/>
      <c r="Z26" s="222"/>
      <c r="AA26" s="222"/>
      <c r="AB26" s="222"/>
      <c r="AC26" s="222"/>
      <c r="AD26" s="222"/>
      <c r="AE26" s="222"/>
      <c r="AF26" s="222"/>
      <c r="AG26" s="222"/>
      <c r="AH26" s="222"/>
      <c r="AI26" s="222"/>
      <c r="AJ26" s="222"/>
      <c r="AK26" s="222"/>
      <c r="AL26" s="222"/>
      <c r="AM26" s="222"/>
      <c r="AN26" s="222"/>
      <c r="AO26" s="222"/>
      <c r="AP26" s="222"/>
      <c r="AQ26" s="222"/>
      <c r="AR26" s="222"/>
      <c r="AS26" s="222"/>
      <c r="AT26" s="222"/>
      <c r="AU26" s="222"/>
      <c r="AV26" s="222"/>
      <c r="AW26" s="222"/>
      <c r="AX26" s="222"/>
      <c r="AY26" s="222"/>
      <c r="AZ26" s="222"/>
      <c r="BA26" s="222"/>
      <c r="BB26" s="49"/>
    </row>
    <row r="27" spans="2:54">
      <c r="B27" s="48"/>
      <c r="C27" s="222"/>
      <c r="D27" s="222"/>
      <c r="E27" s="222"/>
      <c r="F27" s="222"/>
      <c r="G27" s="222"/>
      <c r="H27" s="222"/>
      <c r="I27" s="222"/>
      <c r="J27" s="222"/>
      <c r="K27" s="222"/>
      <c r="L27" s="222"/>
      <c r="M27" s="222"/>
      <c r="N27" s="222"/>
      <c r="O27" s="222"/>
      <c r="P27" s="222"/>
      <c r="Q27" s="222"/>
      <c r="R27" s="222"/>
      <c r="S27" s="222"/>
      <c r="T27" s="222"/>
      <c r="U27" s="222"/>
      <c r="V27" s="222"/>
      <c r="W27" s="222"/>
      <c r="X27" s="222"/>
      <c r="Y27" s="222"/>
      <c r="Z27" s="222"/>
      <c r="AA27" s="222"/>
      <c r="AB27" s="222"/>
      <c r="AC27" s="222"/>
      <c r="AD27" s="222"/>
      <c r="AE27" s="222"/>
      <c r="AF27" s="222"/>
      <c r="AG27" s="222"/>
      <c r="AH27" s="222"/>
      <c r="AI27" s="222"/>
      <c r="AJ27" s="222"/>
      <c r="AK27" s="222"/>
      <c r="AL27" s="222"/>
      <c r="AM27" s="222"/>
      <c r="AN27" s="222"/>
      <c r="AO27" s="222"/>
      <c r="AP27" s="222"/>
      <c r="AQ27" s="222"/>
      <c r="AR27" s="222"/>
      <c r="AS27" s="222"/>
      <c r="AT27" s="222"/>
      <c r="AU27" s="222"/>
      <c r="AV27" s="222"/>
      <c r="AW27" s="222"/>
      <c r="AX27" s="222"/>
      <c r="AY27" s="222"/>
      <c r="AZ27" s="222"/>
      <c r="BA27" s="222"/>
      <c r="BB27" s="49"/>
    </row>
    <row r="28" spans="2:54">
      <c r="B28" s="48"/>
      <c r="C28" s="222"/>
      <c r="D28" s="222"/>
      <c r="E28" s="222"/>
      <c r="F28" s="222"/>
      <c r="G28" s="222"/>
      <c r="H28" s="222"/>
      <c r="I28" s="222"/>
      <c r="J28" s="222"/>
      <c r="K28" s="222"/>
      <c r="L28" s="222"/>
      <c r="M28" s="222"/>
      <c r="N28" s="222"/>
      <c r="O28" s="222"/>
      <c r="P28" s="222"/>
      <c r="Q28" s="222"/>
      <c r="R28" s="222"/>
      <c r="S28" s="222"/>
      <c r="T28" s="222"/>
      <c r="U28" s="222"/>
      <c r="V28" s="222"/>
      <c r="W28" s="222"/>
      <c r="X28" s="222"/>
      <c r="Y28" s="222"/>
      <c r="Z28" s="222"/>
      <c r="AA28" s="222"/>
      <c r="AB28" s="222"/>
      <c r="AC28" s="222"/>
      <c r="AD28" s="222"/>
      <c r="AE28" s="222"/>
      <c r="AF28" s="222"/>
      <c r="AG28" s="222"/>
      <c r="AH28" s="222"/>
      <c r="AI28" s="222"/>
      <c r="AJ28" s="222"/>
      <c r="AK28" s="222"/>
      <c r="AL28" s="222"/>
      <c r="AM28" s="222"/>
      <c r="AN28" s="222"/>
      <c r="AO28" s="222"/>
      <c r="AP28" s="222"/>
      <c r="AQ28" s="222"/>
      <c r="AR28" s="222"/>
      <c r="AS28" s="222"/>
      <c r="AT28" s="222"/>
      <c r="AU28" s="222"/>
      <c r="AV28" s="222"/>
      <c r="AW28" s="222"/>
      <c r="AX28" s="222"/>
      <c r="AY28" s="222"/>
      <c r="AZ28" s="222"/>
      <c r="BA28" s="222"/>
      <c r="BB28" s="49"/>
    </row>
    <row r="29" spans="2:54">
      <c r="B29" s="48"/>
      <c r="C29" s="222"/>
      <c r="D29" s="222"/>
      <c r="E29" s="222"/>
      <c r="F29" s="222"/>
      <c r="G29" s="222"/>
      <c r="H29" s="222"/>
      <c r="I29" s="222"/>
      <c r="J29" s="222"/>
      <c r="K29" s="222"/>
      <c r="L29" s="222"/>
      <c r="M29" s="222"/>
      <c r="N29" s="222"/>
      <c r="O29" s="222"/>
      <c r="P29" s="222"/>
      <c r="Q29" s="222"/>
      <c r="R29" s="222"/>
      <c r="S29" s="222"/>
      <c r="T29" s="222"/>
      <c r="U29" s="222"/>
      <c r="V29" s="222"/>
      <c r="W29" s="222"/>
      <c r="X29" s="222"/>
      <c r="Y29" s="222"/>
      <c r="Z29" s="222"/>
      <c r="AA29" s="222"/>
      <c r="AB29" s="222"/>
      <c r="AC29" s="222"/>
      <c r="AD29" s="222"/>
      <c r="AE29" s="222"/>
      <c r="AF29" s="222"/>
      <c r="AG29" s="222"/>
      <c r="AH29" s="222"/>
      <c r="AI29" s="222"/>
      <c r="AJ29" s="222"/>
      <c r="AK29" s="222"/>
      <c r="AL29" s="222"/>
      <c r="AM29" s="222"/>
      <c r="AN29" s="222"/>
      <c r="AO29" s="222"/>
      <c r="AP29" s="222"/>
      <c r="AQ29" s="222"/>
      <c r="AR29" s="222"/>
      <c r="AS29" s="222"/>
      <c r="AT29" s="222"/>
      <c r="AU29" s="222"/>
      <c r="AV29" s="222"/>
      <c r="AW29" s="222"/>
      <c r="AX29" s="222"/>
      <c r="AY29" s="222"/>
      <c r="AZ29" s="222"/>
      <c r="BA29" s="222"/>
      <c r="BB29" s="49"/>
    </row>
    <row r="30" spans="2:54">
      <c r="B30" s="48"/>
      <c r="C30" s="222"/>
      <c r="D30" s="222"/>
      <c r="E30" s="222"/>
      <c r="F30" s="222"/>
      <c r="G30" s="222"/>
      <c r="H30" s="222"/>
      <c r="I30" s="222"/>
      <c r="J30" s="222"/>
      <c r="K30" s="222"/>
      <c r="L30" s="222"/>
      <c r="M30" s="222"/>
      <c r="N30" s="222"/>
      <c r="O30" s="222"/>
      <c r="P30" s="222"/>
      <c r="Q30" s="222"/>
      <c r="R30" s="222"/>
      <c r="S30" s="222"/>
      <c r="T30" s="222"/>
      <c r="U30" s="222"/>
      <c r="V30" s="222"/>
      <c r="W30" s="222"/>
      <c r="X30" s="222"/>
      <c r="Y30" s="222"/>
      <c r="Z30" s="222"/>
      <c r="AA30" s="222"/>
      <c r="AB30" s="222"/>
      <c r="AC30" s="222"/>
      <c r="AD30" s="222"/>
      <c r="AE30" s="222"/>
      <c r="AF30" s="222"/>
      <c r="AG30" s="222"/>
      <c r="AH30" s="222"/>
      <c r="AI30" s="222"/>
      <c r="AJ30" s="222"/>
      <c r="AK30" s="222"/>
      <c r="AL30" s="222"/>
      <c r="AM30" s="222"/>
      <c r="AN30" s="222"/>
      <c r="AO30" s="222"/>
      <c r="AP30" s="222"/>
      <c r="AQ30" s="222"/>
      <c r="AR30" s="222"/>
      <c r="AS30" s="222"/>
      <c r="AT30" s="222"/>
      <c r="AU30" s="222"/>
      <c r="AV30" s="222"/>
      <c r="AW30" s="222"/>
      <c r="AX30" s="222"/>
      <c r="AY30" s="222"/>
      <c r="AZ30" s="222"/>
      <c r="BA30" s="222"/>
      <c r="BB30" s="49"/>
    </row>
    <row r="31" spans="2:54">
      <c r="B31" s="48"/>
      <c r="C31" s="222"/>
      <c r="D31" s="222"/>
      <c r="E31" s="222"/>
      <c r="F31" s="222"/>
      <c r="G31" s="222"/>
      <c r="H31" s="222"/>
      <c r="I31" s="222"/>
      <c r="J31" s="222"/>
      <c r="K31" s="222"/>
      <c r="L31" s="222"/>
      <c r="M31" s="222"/>
      <c r="N31" s="222"/>
      <c r="O31" s="222"/>
      <c r="P31" s="222"/>
      <c r="Q31" s="222"/>
      <c r="R31" s="222"/>
      <c r="S31" s="222"/>
      <c r="T31" s="222"/>
      <c r="U31" s="222"/>
      <c r="V31" s="222"/>
      <c r="W31" s="222"/>
      <c r="X31" s="222"/>
      <c r="Y31" s="222"/>
      <c r="Z31" s="222"/>
      <c r="AA31" s="222"/>
      <c r="AB31" s="222"/>
      <c r="AC31" s="222"/>
      <c r="AD31" s="222"/>
      <c r="AE31" s="222"/>
      <c r="AF31" s="222"/>
      <c r="AG31" s="222"/>
      <c r="AH31" s="222"/>
      <c r="AI31" s="222"/>
      <c r="AJ31" s="222"/>
      <c r="AK31" s="222"/>
      <c r="AL31" s="222"/>
      <c r="AM31" s="222"/>
      <c r="AN31" s="222"/>
      <c r="AO31" s="222"/>
      <c r="AP31" s="222"/>
      <c r="AQ31" s="222"/>
      <c r="AR31" s="222"/>
      <c r="AS31" s="222"/>
      <c r="AT31" s="222"/>
      <c r="AU31" s="222"/>
      <c r="AV31" s="222"/>
      <c r="AW31" s="222"/>
      <c r="AX31" s="222"/>
      <c r="AY31" s="222"/>
      <c r="AZ31" s="222"/>
      <c r="BA31" s="222"/>
      <c r="BB31" s="49"/>
    </row>
    <row r="32" spans="2:54">
      <c r="B32" s="48"/>
      <c r="C32" s="222"/>
      <c r="D32" s="222"/>
      <c r="E32" s="222"/>
      <c r="F32" s="222"/>
      <c r="G32" s="222"/>
      <c r="H32" s="222"/>
      <c r="I32" s="222"/>
      <c r="J32" s="222"/>
      <c r="K32" s="222"/>
      <c r="L32" s="222"/>
      <c r="M32" s="222"/>
      <c r="N32" s="222"/>
      <c r="O32" s="222"/>
      <c r="P32" s="222"/>
      <c r="Q32" s="222"/>
      <c r="R32" s="222"/>
      <c r="S32" s="222"/>
      <c r="T32" s="222"/>
      <c r="U32" s="222"/>
      <c r="V32" s="222"/>
      <c r="W32" s="222"/>
      <c r="X32" s="222"/>
      <c r="Y32" s="222"/>
      <c r="Z32" s="222"/>
      <c r="AA32" s="222"/>
      <c r="AB32" s="222"/>
      <c r="AC32" s="222"/>
      <c r="AD32" s="222"/>
      <c r="AE32" s="222"/>
      <c r="AF32" s="222"/>
      <c r="AG32" s="222"/>
      <c r="AH32" s="222"/>
      <c r="AI32" s="222"/>
      <c r="AJ32" s="222"/>
      <c r="AK32" s="222"/>
      <c r="AL32" s="222"/>
      <c r="AM32" s="222"/>
      <c r="AN32" s="222"/>
      <c r="AO32" s="222"/>
      <c r="AP32" s="222"/>
      <c r="AQ32" s="222"/>
      <c r="AR32" s="222"/>
      <c r="AS32" s="222"/>
      <c r="AT32" s="222"/>
      <c r="AU32" s="222"/>
      <c r="AV32" s="222"/>
      <c r="AW32" s="222"/>
      <c r="AX32" s="222"/>
      <c r="AY32" s="222"/>
      <c r="AZ32" s="222"/>
      <c r="BA32" s="222"/>
      <c r="BB32" s="49"/>
    </row>
    <row r="33" spans="2:54">
      <c r="B33" s="48"/>
      <c r="C33" s="222"/>
      <c r="D33" s="222"/>
      <c r="E33" s="222"/>
      <c r="F33" s="222"/>
      <c r="G33" s="222"/>
      <c r="H33" s="222"/>
      <c r="I33" s="222"/>
      <c r="J33" s="222"/>
      <c r="K33" s="222"/>
      <c r="L33" s="222"/>
      <c r="M33" s="222"/>
      <c r="N33" s="222"/>
      <c r="O33" s="222"/>
      <c r="P33" s="222"/>
      <c r="Q33" s="222"/>
      <c r="R33" s="222"/>
      <c r="S33" s="222"/>
      <c r="T33" s="222"/>
      <c r="U33" s="222"/>
      <c r="V33" s="222"/>
      <c r="W33" s="222"/>
      <c r="X33" s="222"/>
      <c r="Y33" s="222"/>
      <c r="Z33" s="222"/>
      <c r="AA33" s="222"/>
      <c r="AB33" s="222"/>
      <c r="AC33" s="222"/>
      <c r="AD33" s="222"/>
      <c r="AE33" s="222"/>
      <c r="AF33" s="222"/>
      <c r="AG33" s="222"/>
      <c r="AH33" s="222"/>
      <c r="AI33" s="222"/>
      <c r="AJ33" s="222"/>
      <c r="AK33" s="222"/>
      <c r="AL33" s="222"/>
      <c r="AM33" s="222"/>
      <c r="AN33" s="222"/>
      <c r="AO33" s="222"/>
      <c r="AP33" s="222"/>
      <c r="AQ33" s="222"/>
      <c r="AR33" s="222"/>
      <c r="AS33" s="222"/>
      <c r="AT33" s="222"/>
      <c r="AU33" s="222"/>
      <c r="AV33" s="222"/>
      <c r="AW33" s="222"/>
      <c r="AX33" s="222"/>
      <c r="AY33" s="222"/>
      <c r="AZ33" s="222"/>
      <c r="BA33" s="222"/>
      <c r="BB33" s="49"/>
    </row>
    <row r="34" spans="2:54">
      <c r="B34" s="48"/>
      <c r="C34" s="222"/>
      <c r="D34" s="222"/>
      <c r="E34" s="222"/>
      <c r="F34" s="222"/>
      <c r="G34" s="222"/>
      <c r="H34" s="222"/>
      <c r="I34" s="222"/>
      <c r="J34" s="222"/>
      <c r="K34" s="222"/>
      <c r="L34" s="222"/>
      <c r="M34" s="222"/>
      <c r="N34" s="222"/>
      <c r="O34" s="222"/>
      <c r="P34" s="222"/>
      <c r="Q34" s="222"/>
      <c r="R34" s="222"/>
      <c r="S34" s="222"/>
      <c r="T34" s="222"/>
      <c r="U34" s="222"/>
      <c r="V34" s="222"/>
      <c r="W34" s="222"/>
      <c r="X34" s="222"/>
      <c r="Y34" s="222"/>
      <c r="Z34" s="222"/>
      <c r="AA34" s="222"/>
      <c r="AB34" s="222"/>
      <c r="AC34" s="222"/>
      <c r="AD34" s="222"/>
      <c r="AE34" s="222"/>
      <c r="AF34" s="222"/>
      <c r="AG34" s="222"/>
      <c r="AH34" s="222"/>
      <c r="AI34" s="222"/>
      <c r="AJ34" s="222"/>
      <c r="AK34" s="222"/>
      <c r="AL34" s="222"/>
      <c r="AM34" s="222"/>
      <c r="AN34" s="222"/>
      <c r="AO34" s="222"/>
      <c r="AP34" s="222"/>
      <c r="AQ34" s="222"/>
      <c r="AR34" s="222"/>
      <c r="AS34" s="222"/>
      <c r="AT34" s="222"/>
      <c r="AU34" s="222"/>
      <c r="AV34" s="222"/>
      <c r="AW34" s="222"/>
      <c r="AX34" s="222"/>
      <c r="AY34" s="222"/>
      <c r="AZ34" s="222"/>
      <c r="BA34" s="222"/>
      <c r="BB34" s="49"/>
    </row>
    <row r="35" spans="2:54">
      <c r="B35" s="48"/>
      <c r="C35" s="222"/>
      <c r="D35" s="222"/>
      <c r="E35" s="222"/>
      <c r="F35" s="222"/>
      <c r="G35" s="222"/>
      <c r="H35" s="222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Y35" s="222"/>
      <c r="Z35" s="222"/>
      <c r="AA35" s="222"/>
      <c r="AB35" s="222"/>
      <c r="AC35" s="222"/>
      <c r="AD35" s="222"/>
      <c r="AE35" s="222"/>
      <c r="AF35" s="222"/>
      <c r="AG35" s="222"/>
      <c r="AH35" s="222"/>
      <c r="AI35" s="222"/>
      <c r="AJ35" s="222"/>
      <c r="AK35" s="222"/>
      <c r="AL35" s="222"/>
      <c r="AM35" s="222"/>
      <c r="AN35" s="222"/>
      <c r="AO35" s="222"/>
      <c r="AP35" s="222"/>
      <c r="AQ35" s="222"/>
      <c r="AR35" s="222"/>
      <c r="AS35" s="222"/>
      <c r="AT35" s="222"/>
      <c r="AU35" s="222"/>
      <c r="AV35" s="222"/>
      <c r="AW35" s="222"/>
      <c r="AX35" s="222"/>
      <c r="AY35" s="222"/>
      <c r="AZ35" s="222"/>
      <c r="BA35" s="222"/>
      <c r="BB35" s="49"/>
    </row>
    <row r="36" spans="2:54">
      <c r="B36" s="48"/>
      <c r="C36" s="222"/>
      <c r="D36" s="222"/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V36" s="222"/>
      <c r="W36" s="222"/>
      <c r="X36" s="222"/>
      <c r="Y36" s="222"/>
      <c r="Z36" s="222"/>
      <c r="AA36" s="222"/>
      <c r="AB36" s="222"/>
      <c r="AC36" s="222"/>
      <c r="AD36" s="222"/>
      <c r="AE36" s="222"/>
      <c r="AF36" s="222"/>
      <c r="AG36" s="222"/>
      <c r="AH36" s="222"/>
      <c r="AI36" s="222"/>
      <c r="AJ36" s="222"/>
      <c r="AK36" s="222"/>
      <c r="AL36" s="222"/>
      <c r="AM36" s="222"/>
      <c r="AN36" s="222"/>
      <c r="AO36" s="222"/>
      <c r="AP36" s="222"/>
      <c r="AQ36" s="222"/>
      <c r="AR36" s="222"/>
      <c r="AS36" s="222"/>
      <c r="AT36" s="222"/>
      <c r="AU36" s="222"/>
      <c r="AV36" s="222"/>
      <c r="AW36" s="222"/>
      <c r="AX36" s="222"/>
      <c r="AY36" s="222"/>
      <c r="AZ36" s="222"/>
      <c r="BA36" s="222"/>
      <c r="BB36" s="49"/>
    </row>
    <row r="37" spans="2:54">
      <c r="B37" s="48"/>
      <c r="C37" s="222"/>
      <c r="D37" s="222"/>
      <c r="E37" s="222"/>
      <c r="F37" s="222"/>
      <c r="G37" s="222"/>
      <c r="H37" s="222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Y37" s="222"/>
      <c r="Z37" s="222"/>
      <c r="AA37" s="222"/>
      <c r="AB37" s="222"/>
      <c r="AC37" s="222"/>
      <c r="AD37" s="222"/>
      <c r="AE37" s="222"/>
      <c r="AF37" s="222"/>
      <c r="AG37" s="222"/>
      <c r="AH37" s="222"/>
      <c r="AI37" s="222"/>
      <c r="AJ37" s="222"/>
      <c r="AK37" s="222"/>
      <c r="AL37" s="222"/>
      <c r="AM37" s="222"/>
      <c r="AN37" s="222"/>
      <c r="AO37" s="222"/>
      <c r="AP37" s="222"/>
      <c r="AQ37" s="222"/>
      <c r="AR37" s="222"/>
      <c r="AS37" s="222"/>
      <c r="AT37" s="222"/>
      <c r="AU37" s="222"/>
      <c r="AV37" s="222"/>
      <c r="AW37" s="222"/>
      <c r="AX37" s="222"/>
      <c r="AY37" s="222"/>
      <c r="AZ37" s="222"/>
      <c r="BA37" s="222"/>
      <c r="BB37" s="49"/>
    </row>
    <row r="38" spans="2:54">
      <c r="B38" s="48"/>
      <c r="C38" s="222"/>
      <c r="D38" s="222"/>
      <c r="E38" s="222"/>
      <c r="F38" s="222"/>
      <c r="G38" s="222"/>
      <c r="H38" s="222"/>
      <c r="I38" s="222"/>
      <c r="J38" s="222"/>
      <c r="K38" s="222"/>
      <c r="L38" s="222"/>
      <c r="M38" s="222"/>
      <c r="N38" s="222"/>
      <c r="O38" s="222"/>
      <c r="P38" s="222"/>
      <c r="Q38" s="222"/>
      <c r="R38" s="222"/>
      <c r="S38" s="222"/>
      <c r="T38" s="222"/>
      <c r="U38" s="222"/>
      <c r="V38" s="222"/>
      <c r="W38" s="222"/>
      <c r="X38" s="222"/>
      <c r="Y38" s="222"/>
      <c r="Z38" s="222"/>
      <c r="AA38" s="222"/>
      <c r="AB38" s="222"/>
      <c r="AC38" s="222"/>
      <c r="AD38" s="222"/>
      <c r="AE38" s="222"/>
      <c r="AF38" s="222"/>
      <c r="AG38" s="222"/>
      <c r="AH38" s="222"/>
      <c r="AI38" s="222"/>
      <c r="AJ38" s="222"/>
      <c r="AK38" s="222"/>
      <c r="AL38" s="222"/>
      <c r="AM38" s="222"/>
      <c r="AN38" s="222"/>
      <c r="AO38" s="222"/>
      <c r="AP38" s="222"/>
      <c r="AQ38" s="222"/>
      <c r="AR38" s="222"/>
      <c r="AS38" s="222"/>
      <c r="AT38" s="222"/>
      <c r="AU38" s="222"/>
      <c r="AV38" s="222"/>
      <c r="AW38" s="222"/>
      <c r="AX38" s="222"/>
      <c r="AY38" s="222"/>
      <c r="AZ38" s="222"/>
      <c r="BA38" s="222"/>
      <c r="BB38" s="49"/>
    </row>
    <row r="39" spans="2:54">
      <c r="B39" s="48"/>
      <c r="C39" s="222"/>
      <c r="D39" s="222"/>
      <c r="E39" s="222"/>
      <c r="F39" s="222"/>
      <c r="G39" s="222"/>
      <c r="H39" s="222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Y39" s="222"/>
      <c r="Z39" s="222"/>
      <c r="AA39" s="222"/>
      <c r="AB39" s="222"/>
      <c r="AC39" s="222"/>
      <c r="AD39" s="222"/>
      <c r="AE39" s="222"/>
      <c r="AF39" s="222"/>
      <c r="AG39" s="222"/>
      <c r="AH39" s="222"/>
      <c r="AI39" s="222"/>
      <c r="AJ39" s="222"/>
      <c r="AK39" s="222"/>
      <c r="AL39" s="222"/>
      <c r="AM39" s="222"/>
      <c r="AN39" s="222"/>
      <c r="AO39" s="222"/>
      <c r="AP39" s="222"/>
      <c r="AQ39" s="222"/>
      <c r="AR39" s="222"/>
      <c r="AS39" s="222"/>
      <c r="AT39" s="222"/>
      <c r="AU39" s="222"/>
      <c r="AV39" s="222"/>
      <c r="AW39" s="222"/>
      <c r="AX39" s="222"/>
      <c r="AY39" s="222"/>
      <c r="AZ39" s="222"/>
      <c r="BA39" s="222"/>
      <c r="BB39" s="49"/>
    </row>
    <row r="40" spans="2:54">
      <c r="B40" s="48"/>
      <c r="C40" s="222"/>
      <c r="D40" s="222"/>
      <c r="E40" s="222"/>
      <c r="F40" s="222"/>
      <c r="G40" s="222"/>
      <c r="H40" s="222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Y40" s="222"/>
      <c r="Z40" s="222"/>
      <c r="AA40" s="222"/>
      <c r="AB40" s="222"/>
      <c r="AC40" s="222"/>
      <c r="AD40" s="222"/>
      <c r="AE40" s="222"/>
      <c r="AF40" s="222"/>
      <c r="AG40" s="222"/>
      <c r="AH40" s="222"/>
      <c r="AI40" s="222"/>
      <c r="AJ40" s="222"/>
      <c r="AK40" s="222"/>
      <c r="AL40" s="222"/>
      <c r="AM40" s="222"/>
      <c r="AN40" s="222"/>
      <c r="AO40" s="222"/>
      <c r="AP40" s="222"/>
      <c r="AQ40" s="222"/>
      <c r="AR40" s="222"/>
      <c r="AS40" s="222"/>
      <c r="AT40" s="222"/>
      <c r="AU40" s="222"/>
      <c r="AV40" s="222"/>
      <c r="AW40" s="222"/>
      <c r="AX40" s="222"/>
      <c r="AY40" s="222"/>
      <c r="AZ40" s="222"/>
      <c r="BA40" s="222"/>
      <c r="BB40" s="49"/>
    </row>
    <row r="41" spans="2:54">
      <c r="B41" s="48"/>
      <c r="C41" s="222"/>
      <c r="D41" s="222"/>
      <c r="E41" s="222"/>
      <c r="F41" s="222"/>
      <c r="G41" s="222"/>
      <c r="H41" s="222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Y41" s="222"/>
      <c r="Z41" s="222"/>
      <c r="AA41" s="222"/>
      <c r="AB41" s="222"/>
      <c r="AC41" s="222"/>
      <c r="AD41" s="222"/>
      <c r="AE41" s="222"/>
      <c r="AF41" s="222"/>
      <c r="AG41" s="222"/>
      <c r="AH41" s="222"/>
      <c r="AI41" s="222"/>
      <c r="AJ41" s="222"/>
      <c r="AK41" s="222"/>
      <c r="AL41" s="222"/>
      <c r="AM41" s="222"/>
      <c r="AN41" s="222"/>
      <c r="AO41" s="222"/>
      <c r="AP41" s="222"/>
      <c r="AQ41" s="222"/>
      <c r="AR41" s="222"/>
      <c r="AS41" s="222"/>
      <c r="AT41" s="222"/>
      <c r="AU41" s="222"/>
      <c r="AV41" s="222"/>
      <c r="AW41" s="222"/>
      <c r="AX41" s="222"/>
      <c r="AY41" s="222"/>
      <c r="AZ41" s="222"/>
      <c r="BA41" s="222"/>
      <c r="BB41" s="49"/>
    </row>
    <row r="42" spans="2:54">
      <c r="B42" s="48"/>
      <c r="C42" s="222"/>
      <c r="D42" s="222"/>
      <c r="E42" s="222"/>
      <c r="F42" s="222"/>
      <c r="G42" s="222"/>
      <c r="H42" s="222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Y42" s="222"/>
      <c r="Z42" s="222"/>
      <c r="AA42" s="222"/>
      <c r="AB42" s="222"/>
      <c r="AC42" s="222"/>
      <c r="AD42" s="222"/>
      <c r="AE42" s="222"/>
      <c r="AF42" s="222"/>
      <c r="AG42" s="222"/>
      <c r="AH42" s="222"/>
      <c r="AI42" s="222"/>
      <c r="AJ42" s="222"/>
      <c r="AK42" s="222"/>
      <c r="AL42" s="222"/>
      <c r="AM42" s="222"/>
      <c r="AN42" s="222"/>
      <c r="AO42" s="222"/>
      <c r="AP42" s="222"/>
      <c r="AQ42" s="222"/>
      <c r="AR42" s="222"/>
      <c r="AS42" s="222"/>
      <c r="AT42" s="222"/>
      <c r="AU42" s="222"/>
      <c r="AV42" s="222"/>
      <c r="AW42" s="222"/>
      <c r="AX42" s="222"/>
      <c r="AY42" s="222"/>
      <c r="AZ42" s="222"/>
      <c r="BA42" s="222"/>
      <c r="BB42" s="49"/>
    </row>
    <row r="43" spans="2:54">
      <c r="B43" s="48"/>
      <c r="C43" s="222"/>
      <c r="D43" s="222"/>
      <c r="E43" s="222"/>
      <c r="F43" s="222"/>
      <c r="G43" s="222"/>
      <c r="H43" s="22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Y43" s="222"/>
      <c r="Z43" s="222"/>
      <c r="AA43" s="222"/>
      <c r="AB43" s="222"/>
      <c r="AC43" s="222"/>
      <c r="AD43" s="222"/>
      <c r="AE43" s="222"/>
      <c r="AF43" s="222"/>
      <c r="AG43" s="222"/>
      <c r="AH43" s="222"/>
      <c r="AI43" s="222"/>
      <c r="AJ43" s="222"/>
      <c r="AK43" s="222"/>
      <c r="AL43" s="222"/>
      <c r="AM43" s="222"/>
      <c r="AN43" s="222"/>
      <c r="AO43" s="222"/>
      <c r="AP43" s="222"/>
      <c r="AQ43" s="222"/>
      <c r="AR43" s="222"/>
      <c r="AS43" s="222"/>
      <c r="AT43" s="222"/>
      <c r="AU43" s="222"/>
      <c r="AV43" s="222"/>
      <c r="AW43" s="222"/>
      <c r="AX43" s="222"/>
      <c r="AY43" s="222"/>
      <c r="AZ43" s="222"/>
      <c r="BA43" s="222"/>
      <c r="BB43" s="49"/>
    </row>
    <row r="44" spans="2:54">
      <c r="B44" s="48"/>
      <c r="C44" s="222"/>
      <c r="D44" s="222"/>
      <c r="E44" s="222"/>
      <c r="F44" s="222"/>
      <c r="G44" s="222"/>
      <c r="H44" s="222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Y44" s="222"/>
      <c r="Z44" s="222"/>
      <c r="AA44" s="222"/>
      <c r="AB44" s="222"/>
      <c r="AC44" s="222"/>
      <c r="AD44" s="222"/>
      <c r="AE44" s="222"/>
      <c r="AF44" s="222"/>
      <c r="AG44" s="222"/>
      <c r="AH44" s="222"/>
      <c r="AI44" s="222"/>
      <c r="AJ44" s="222"/>
      <c r="AK44" s="222"/>
      <c r="AL44" s="222"/>
      <c r="AM44" s="222"/>
      <c r="AN44" s="222"/>
      <c r="AO44" s="222"/>
      <c r="AP44" s="222"/>
      <c r="AQ44" s="222"/>
      <c r="AR44" s="222"/>
      <c r="AS44" s="222"/>
      <c r="AT44" s="222"/>
      <c r="AU44" s="222"/>
      <c r="AV44" s="222"/>
      <c r="AW44" s="222"/>
      <c r="AX44" s="222"/>
      <c r="AY44" s="222"/>
      <c r="AZ44" s="222"/>
      <c r="BA44" s="222"/>
      <c r="BB44" s="49"/>
    </row>
    <row r="45" spans="2:54">
      <c r="B45" s="48"/>
      <c r="C45" s="222"/>
      <c r="D45" s="222"/>
      <c r="E45" s="222"/>
      <c r="F45" s="222"/>
      <c r="G45" s="222"/>
      <c r="H45" s="22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Y45" s="222"/>
      <c r="Z45" s="222"/>
      <c r="AA45" s="222"/>
      <c r="AB45" s="222"/>
      <c r="AC45" s="222"/>
      <c r="AD45" s="222"/>
      <c r="AE45" s="222"/>
      <c r="AF45" s="222"/>
      <c r="AG45" s="222"/>
      <c r="AH45" s="222"/>
      <c r="AI45" s="222"/>
      <c r="AJ45" s="222"/>
      <c r="AK45" s="222"/>
      <c r="AL45" s="222"/>
      <c r="AM45" s="222"/>
      <c r="AN45" s="222"/>
      <c r="AO45" s="222"/>
      <c r="AP45" s="222"/>
      <c r="AQ45" s="222"/>
      <c r="AR45" s="222"/>
      <c r="AS45" s="222"/>
      <c r="AT45" s="222"/>
      <c r="AU45" s="222"/>
      <c r="AV45" s="222"/>
      <c r="AW45" s="222"/>
      <c r="AX45" s="222"/>
      <c r="AY45" s="222"/>
      <c r="AZ45" s="222"/>
      <c r="BA45" s="222"/>
      <c r="BB45" s="49"/>
    </row>
    <row r="46" spans="2:54">
      <c r="B46" s="48"/>
      <c r="C46" s="222"/>
      <c r="D46" s="222"/>
      <c r="E46" s="222"/>
      <c r="F46" s="222"/>
      <c r="G46" s="222"/>
      <c r="H46" s="222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Y46" s="222"/>
      <c r="Z46" s="222"/>
      <c r="AA46" s="222"/>
      <c r="AB46" s="222"/>
      <c r="AC46" s="222"/>
      <c r="AD46" s="222"/>
      <c r="AE46" s="222"/>
      <c r="AF46" s="222"/>
      <c r="AG46" s="222"/>
      <c r="AH46" s="222"/>
      <c r="AI46" s="222"/>
      <c r="AJ46" s="222"/>
      <c r="AK46" s="222"/>
      <c r="AL46" s="222"/>
      <c r="AM46" s="222"/>
      <c r="AN46" s="222"/>
      <c r="AO46" s="222"/>
      <c r="AP46" s="222"/>
      <c r="AQ46" s="222"/>
      <c r="AR46" s="222"/>
      <c r="AS46" s="222"/>
      <c r="AT46" s="222"/>
      <c r="AU46" s="222"/>
      <c r="AV46" s="222"/>
      <c r="AW46" s="222"/>
      <c r="AX46" s="222"/>
      <c r="AY46" s="222"/>
      <c r="AZ46" s="222"/>
      <c r="BA46" s="222"/>
      <c r="BB46" s="49"/>
    </row>
    <row r="47" spans="2:54">
      <c r="B47" s="48"/>
      <c r="C47" s="222"/>
      <c r="D47" s="222"/>
      <c r="E47" s="222"/>
      <c r="F47" s="222"/>
      <c r="G47" s="222"/>
      <c r="H47" s="222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Y47" s="222"/>
      <c r="Z47" s="222"/>
      <c r="AA47" s="222"/>
      <c r="AB47" s="222"/>
      <c r="AC47" s="222"/>
      <c r="AD47" s="222"/>
      <c r="AE47" s="222"/>
      <c r="AF47" s="222"/>
      <c r="AG47" s="222"/>
      <c r="AH47" s="222"/>
      <c r="AI47" s="222"/>
      <c r="AJ47" s="222"/>
      <c r="AK47" s="222"/>
      <c r="AL47" s="222"/>
      <c r="AM47" s="222"/>
      <c r="AN47" s="222"/>
      <c r="AO47" s="222"/>
      <c r="AP47" s="222"/>
      <c r="AQ47" s="222"/>
      <c r="AR47" s="222"/>
      <c r="AS47" s="222"/>
      <c r="AT47" s="222"/>
      <c r="AU47" s="222"/>
      <c r="AV47" s="222"/>
      <c r="AW47" s="222"/>
      <c r="AX47" s="222"/>
      <c r="AY47" s="222"/>
      <c r="AZ47" s="222"/>
      <c r="BA47" s="222"/>
      <c r="BB47" s="49"/>
    </row>
    <row r="48" spans="2:54">
      <c r="B48" s="48"/>
      <c r="C48" s="222"/>
      <c r="D48" s="222"/>
      <c r="E48" s="222"/>
      <c r="F48" s="222"/>
      <c r="G48" s="222"/>
      <c r="H48" s="222"/>
      <c r="I48" s="222"/>
      <c r="J48" s="222"/>
      <c r="K48" s="222"/>
      <c r="L48" s="222"/>
      <c r="M48" s="222"/>
      <c r="N48" s="222"/>
      <c r="O48" s="222"/>
      <c r="P48" s="222"/>
      <c r="Q48" s="222"/>
      <c r="R48" s="222"/>
      <c r="S48" s="222"/>
      <c r="T48" s="222"/>
      <c r="U48" s="222"/>
      <c r="V48" s="222"/>
      <c r="W48" s="222"/>
      <c r="X48" s="222"/>
      <c r="Y48" s="222"/>
      <c r="Z48" s="222"/>
      <c r="AA48" s="222"/>
      <c r="AB48" s="222"/>
      <c r="AC48" s="222"/>
      <c r="AD48" s="222"/>
      <c r="AE48" s="222"/>
      <c r="AF48" s="222"/>
      <c r="AG48" s="222"/>
      <c r="AH48" s="222"/>
      <c r="AI48" s="222"/>
      <c r="AJ48" s="222"/>
      <c r="AK48" s="222"/>
      <c r="AL48" s="222"/>
      <c r="AM48" s="222"/>
      <c r="AN48" s="222"/>
      <c r="AO48" s="222"/>
      <c r="AP48" s="222"/>
      <c r="AQ48" s="222"/>
      <c r="AR48" s="222"/>
      <c r="AS48" s="222"/>
      <c r="AT48" s="222"/>
      <c r="AU48" s="222"/>
      <c r="AV48" s="222"/>
      <c r="AW48" s="222"/>
      <c r="AX48" s="222"/>
      <c r="AY48" s="222"/>
      <c r="AZ48" s="222"/>
      <c r="BA48" s="222"/>
      <c r="BB48" s="49"/>
    </row>
    <row r="49" spans="2:54" ht="16.5" thickBot="1">
      <c r="B49" s="50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51"/>
      <c r="AQ49" s="51"/>
      <c r="AR49" s="51"/>
      <c r="AS49" s="51"/>
      <c r="AT49" s="51"/>
      <c r="AU49" s="51"/>
      <c r="AV49" s="51"/>
      <c r="AW49" s="51"/>
      <c r="AX49" s="51"/>
      <c r="AY49" s="51"/>
      <c r="AZ49" s="51"/>
      <c r="BA49" s="51"/>
      <c r="BB49" s="52"/>
    </row>
    <row r="50" spans="2:54" ht="7.9" customHeight="1"/>
    <row r="51" spans="2:54" ht="7.9" customHeight="1" thickBot="1"/>
    <row r="52" spans="2:54" ht="16.5" thickBot="1">
      <c r="B52" s="53" t="s">
        <v>16</v>
      </c>
      <c r="C52" s="57" t="s">
        <v>17</v>
      </c>
      <c r="D52" s="54"/>
      <c r="E52" s="54"/>
      <c r="F52" s="54"/>
      <c r="G52" s="54"/>
      <c r="H52" s="58"/>
      <c r="I52" s="57" t="s">
        <v>18</v>
      </c>
      <c r="J52" s="54"/>
      <c r="K52" s="54"/>
      <c r="L52" s="58"/>
      <c r="M52" s="129" t="s">
        <v>19</v>
      </c>
      <c r="N52" s="130"/>
      <c r="O52" s="129" t="s">
        <v>20</v>
      </c>
      <c r="P52" s="130"/>
      <c r="Q52" s="54" t="s">
        <v>21</v>
      </c>
      <c r="R52" s="54"/>
      <c r="S52" s="54"/>
      <c r="T52" s="54"/>
      <c r="U52" s="54"/>
      <c r="V52" s="54"/>
      <c r="W52" s="58"/>
      <c r="X52" s="57" t="s">
        <v>22</v>
      </c>
      <c r="Y52" s="54"/>
      <c r="Z52" s="54"/>
      <c r="AA52" s="54"/>
      <c r="AB52" s="54"/>
      <c r="AC52" s="54"/>
      <c r="AD52" s="58"/>
      <c r="AE52" s="57" t="s">
        <v>34</v>
      </c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7" t="s">
        <v>139</v>
      </c>
      <c r="AW52" s="54"/>
      <c r="AX52" s="54"/>
      <c r="AY52" s="54"/>
      <c r="AZ52" s="54"/>
      <c r="BA52" s="54"/>
      <c r="BB52" s="56"/>
    </row>
    <row r="53" spans="2:54" s="87" customFormat="1" ht="15.75" customHeight="1">
      <c r="B53" s="256">
        <f t="shared" ref="B53:B62" si="0">ROW()-53</f>
        <v>0</v>
      </c>
      <c r="C53" s="75" t="s">
        <v>43</v>
      </c>
      <c r="D53" s="88"/>
      <c r="E53" s="88"/>
      <c r="F53" s="88"/>
      <c r="G53" s="88"/>
      <c r="H53" s="76"/>
      <c r="I53" s="75"/>
      <c r="J53" s="88"/>
      <c r="K53" s="88"/>
      <c r="L53" s="76"/>
      <c r="M53" s="257" t="s">
        <v>28</v>
      </c>
      <c r="N53" s="257"/>
      <c r="O53" s="257" t="s">
        <v>28</v>
      </c>
      <c r="P53" s="257"/>
      <c r="Q53" s="88"/>
      <c r="R53" s="88"/>
      <c r="S53" s="88"/>
      <c r="T53" s="88"/>
      <c r="U53" s="88"/>
      <c r="V53" s="88"/>
      <c r="W53" s="76"/>
      <c r="X53" s="75"/>
      <c r="Y53" s="88"/>
      <c r="Z53" s="88"/>
      <c r="AA53" s="88"/>
      <c r="AB53" s="88"/>
      <c r="AC53" s="88"/>
      <c r="AD53" s="76"/>
      <c r="AE53" s="75" t="s">
        <v>49</v>
      </c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  <c r="AQ53" s="88"/>
      <c r="AR53" s="88"/>
      <c r="AS53" s="88"/>
      <c r="AT53" s="88"/>
      <c r="AU53" s="88"/>
      <c r="AV53" s="254"/>
      <c r="AW53" s="254"/>
      <c r="AX53" s="254"/>
      <c r="AY53" s="254"/>
      <c r="AZ53" s="254"/>
      <c r="BA53" s="254"/>
      <c r="BB53" s="258"/>
    </row>
    <row r="54" spans="2:54" s="87" customFormat="1" ht="15.75" customHeight="1">
      <c r="B54" s="59">
        <f>ROW()-53</f>
        <v>1</v>
      </c>
      <c r="C54" s="70" t="s">
        <v>35</v>
      </c>
      <c r="D54" s="61"/>
      <c r="E54" s="61"/>
      <c r="F54" s="61"/>
      <c r="G54" s="61"/>
      <c r="H54" s="62"/>
      <c r="I54" s="60"/>
      <c r="J54" s="61"/>
      <c r="K54" s="61"/>
      <c r="L54" s="62"/>
      <c r="M54" s="205" t="s">
        <v>28</v>
      </c>
      <c r="N54" s="206"/>
      <c r="O54" s="205" t="s">
        <v>28</v>
      </c>
      <c r="P54" s="206"/>
      <c r="Q54" s="61"/>
      <c r="R54" s="61"/>
      <c r="S54" s="61"/>
      <c r="T54" s="61"/>
      <c r="U54" s="61"/>
      <c r="V54" s="61"/>
      <c r="W54" s="62"/>
      <c r="X54" s="60"/>
      <c r="Y54" s="61"/>
      <c r="Z54" s="61"/>
      <c r="AA54" s="61"/>
      <c r="AB54" s="61"/>
      <c r="AC54" s="61"/>
      <c r="AD54" s="62"/>
      <c r="AE54" s="60"/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254"/>
      <c r="AW54" s="237"/>
      <c r="AX54" s="237"/>
      <c r="AY54" s="237"/>
      <c r="AZ54" s="237"/>
      <c r="BA54" s="237"/>
      <c r="BB54" s="238"/>
    </row>
    <row r="55" spans="2:54" s="87" customFormat="1" ht="15.75" customHeight="1">
      <c r="B55" s="73">
        <f t="shared" ref="B55:B61" si="1">ROW()-53</f>
        <v>2</v>
      </c>
      <c r="C55" s="69"/>
      <c r="D55" s="61" t="s">
        <v>42</v>
      </c>
      <c r="E55" s="61"/>
      <c r="F55" s="61"/>
      <c r="G55" s="61"/>
      <c r="H55" s="62"/>
      <c r="I55" s="60" t="s">
        <v>23</v>
      </c>
      <c r="J55" s="61"/>
      <c r="K55" s="61"/>
      <c r="L55" s="62"/>
      <c r="M55" s="137" t="s">
        <v>19</v>
      </c>
      <c r="N55" s="137"/>
      <c r="O55" s="137">
        <v>50</v>
      </c>
      <c r="P55" s="137"/>
      <c r="Q55" s="61"/>
      <c r="R55" s="61"/>
      <c r="S55" s="61"/>
      <c r="T55" s="61"/>
      <c r="U55" s="61"/>
      <c r="V55" s="61"/>
      <c r="W55" s="62"/>
      <c r="X55" s="60"/>
      <c r="Y55" s="61"/>
      <c r="Z55" s="61"/>
      <c r="AA55" s="61"/>
      <c r="AB55" s="61"/>
      <c r="AC55" s="61"/>
      <c r="AD55" s="62"/>
      <c r="AE55" s="60" t="s">
        <v>36</v>
      </c>
      <c r="AF55" s="61"/>
      <c r="AG55" s="61"/>
      <c r="AH55" s="61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254" t="s">
        <v>140</v>
      </c>
      <c r="AW55" s="237"/>
      <c r="AX55" s="237"/>
      <c r="AY55" s="237"/>
      <c r="AZ55" s="237"/>
      <c r="BA55" s="237"/>
      <c r="BB55" s="238"/>
    </row>
    <row r="56" spans="2:54" s="87" customFormat="1" ht="15.75" customHeight="1">
      <c r="B56" s="73">
        <f t="shared" si="1"/>
        <v>3</v>
      </c>
      <c r="C56" s="69"/>
      <c r="D56" s="61" t="s">
        <v>143</v>
      </c>
      <c r="E56" s="61"/>
      <c r="F56" s="61"/>
      <c r="G56" s="61"/>
      <c r="H56" s="62"/>
      <c r="I56" s="60" t="s">
        <v>23</v>
      </c>
      <c r="J56" s="61"/>
      <c r="K56" s="61"/>
      <c r="L56" s="62"/>
      <c r="M56" s="137" t="s">
        <v>19</v>
      </c>
      <c r="N56" s="137"/>
      <c r="O56" s="137">
        <v>20</v>
      </c>
      <c r="P56" s="137"/>
      <c r="Q56" s="61"/>
      <c r="R56" s="61"/>
      <c r="S56" s="61"/>
      <c r="T56" s="61"/>
      <c r="U56" s="61"/>
      <c r="V56" s="61"/>
      <c r="W56" s="62"/>
      <c r="X56" s="60"/>
      <c r="Y56" s="61"/>
      <c r="Z56" s="61"/>
      <c r="AA56" s="61"/>
      <c r="AB56" s="61"/>
      <c r="AC56" s="61"/>
      <c r="AD56" s="62"/>
      <c r="AE56" s="60" t="s">
        <v>36</v>
      </c>
      <c r="AF56" s="61"/>
      <c r="AG56" s="61"/>
      <c r="AH56" s="61"/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254" t="s">
        <v>141</v>
      </c>
      <c r="AW56" s="237"/>
      <c r="AX56" s="237"/>
      <c r="AY56" s="237"/>
      <c r="AZ56" s="237"/>
      <c r="BA56" s="237"/>
      <c r="BB56" s="238"/>
    </row>
    <row r="57" spans="2:54" s="87" customFormat="1" ht="15.75" customHeight="1">
      <c r="B57" s="73">
        <f t="shared" si="1"/>
        <v>4</v>
      </c>
      <c r="C57" s="69"/>
      <c r="D57" s="61" t="s">
        <v>46</v>
      </c>
      <c r="E57" s="61"/>
      <c r="F57" s="61"/>
      <c r="G57" s="61"/>
      <c r="H57" s="62"/>
      <c r="I57" s="60" t="s">
        <v>23</v>
      </c>
      <c r="J57" s="61"/>
      <c r="K57" s="61"/>
      <c r="L57" s="62"/>
      <c r="M57" s="137" t="s">
        <v>19</v>
      </c>
      <c r="N57" s="137"/>
      <c r="O57" s="137">
        <v>20</v>
      </c>
      <c r="P57" s="137"/>
      <c r="Q57" s="61"/>
      <c r="R57" s="61"/>
      <c r="S57" s="61"/>
      <c r="T57" s="61"/>
      <c r="U57" s="61"/>
      <c r="V57" s="61"/>
      <c r="W57" s="62"/>
      <c r="X57" s="60"/>
      <c r="Y57" s="61"/>
      <c r="Z57" s="61"/>
      <c r="AA57" s="61"/>
      <c r="AB57" s="61"/>
      <c r="AC57" s="61"/>
      <c r="AD57" s="62"/>
      <c r="AE57" s="60"/>
      <c r="AF57" s="61"/>
      <c r="AG57" s="61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237" t="s">
        <v>142</v>
      </c>
      <c r="AW57" s="237"/>
      <c r="AX57" s="237"/>
      <c r="AY57" s="237"/>
      <c r="AZ57" s="237"/>
      <c r="BA57" s="237"/>
      <c r="BB57" s="238"/>
    </row>
    <row r="58" spans="2:54" s="87" customFormat="1" ht="15.75" customHeight="1">
      <c r="B58" s="73">
        <f t="shared" si="1"/>
        <v>5</v>
      </c>
      <c r="C58" s="69"/>
      <c r="D58" s="61" t="s">
        <v>47</v>
      </c>
      <c r="E58" s="61"/>
      <c r="F58" s="61"/>
      <c r="G58" s="61"/>
      <c r="H58" s="62"/>
      <c r="I58" s="60" t="s">
        <v>23</v>
      </c>
      <c r="J58" s="61"/>
      <c r="K58" s="61"/>
      <c r="L58" s="62"/>
      <c r="M58" s="137" t="s">
        <v>19</v>
      </c>
      <c r="N58" s="137"/>
      <c r="O58" s="137">
        <v>4</v>
      </c>
      <c r="P58" s="137"/>
      <c r="Q58" s="61"/>
      <c r="R58" s="61"/>
      <c r="S58" s="61"/>
      <c r="T58" s="61"/>
      <c r="U58" s="61"/>
      <c r="V58" s="61"/>
      <c r="W58" s="62"/>
      <c r="X58" s="60" t="s">
        <v>60</v>
      </c>
      <c r="Y58" s="61"/>
      <c r="Z58" s="61"/>
      <c r="AA58" s="61"/>
      <c r="AB58" s="61"/>
      <c r="AC58" s="61"/>
      <c r="AD58" s="62"/>
      <c r="AE58" s="61"/>
      <c r="AF58" s="61"/>
      <c r="AG58" s="61"/>
      <c r="AH58" s="61"/>
      <c r="AI58" s="61"/>
      <c r="AJ58" s="61"/>
      <c r="AK58" s="61"/>
      <c r="AL58" s="61"/>
      <c r="AM58" s="61"/>
      <c r="AN58" s="61"/>
      <c r="AO58" s="61"/>
      <c r="AP58" s="61"/>
      <c r="AQ58" s="61"/>
      <c r="AR58" s="61"/>
      <c r="AS58" s="61"/>
      <c r="AT58" s="61"/>
      <c r="AU58" s="61"/>
      <c r="AV58" s="237" t="s">
        <v>144</v>
      </c>
      <c r="AW58" s="237"/>
      <c r="AX58" s="237"/>
      <c r="AY58" s="237"/>
      <c r="AZ58" s="237"/>
      <c r="BA58" s="237"/>
      <c r="BB58" s="238"/>
    </row>
    <row r="59" spans="2:54" s="87" customFormat="1" ht="15.75" customHeight="1">
      <c r="B59" s="73">
        <f t="shared" si="1"/>
        <v>6</v>
      </c>
      <c r="C59" s="69"/>
      <c r="D59" s="71" t="s">
        <v>53</v>
      </c>
      <c r="E59" s="71"/>
      <c r="F59" s="61"/>
      <c r="G59" s="61"/>
      <c r="H59" s="62"/>
      <c r="I59" s="60" t="s">
        <v>23</v>
      </c>
      <c r="J59" s="61"/>
      <c r="K59" s="61"/>
      <c r="L59" s="62"/>
      <c r="M59" s="137" t="s">
        <v>19</v>
      </c>
      <c r="N59" s="137"/>
      <c r="O59" s="137">
        <v>1000</v>
      </c>
      <c r="P59" s="137"/>
      <c r="Q59" s="61"/>
      <c r="R59" s="61"/>
      <c r="S59" s="61"/>
      <c r="T59" s="61"/>
      <c r="U59" s="61"/>
      <c r="V59" s="61"/>
      <c r="W59" s="62"/>
      <c r="X59" s="60"/>
      <c r="Y59" s="61"/>
      <c r="Z59" s="61"/>
      <c r="AA59" s="61"/>
      <c r="AB59" s="61"/>
      <c r="AC59" s="61"/>
      <c r="AD59" s="62"/>
      <c r="AE59" s="60"/>
      <c r="AF59" s="61"/>
      <c r="AG59" s="61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237" t="s">
        <v>145</v>
      </c>
      <c r="AW59" s="237"/>
      <c r="AX59" s="237"/>
      <c r="AY59" s="237"/>
      <c r="AZ59" s="237"/>
      <c r="BA59" s="237"/>
      <c r="BB59" s="238"/>
    </row>
    <row r="60" spans="2:54" s="87" customFormat="1" ht="15.75" customHeight="1">
      <c r="B60" s="73">
        <f t="shared" si="1"/>
        <v>7</v>
      </c>
      <c r="C60" s="77" t="s">
        <v>55</v>
      </c>
      <c r="D60" s="78"/>
      <c r="E60" s="78"/>
      <c r="F60" s="78"/>
      <c r="G60" s="78"/>
      <c r="H60" s="83"/>
      <c r="I60" s="82" t="s">
        <v>27</v>
      </c>
      <c r="J60" s="78"/>
      <c r="K60" s="78"/>
      <c r="L60" s="83"/>
      <c r="M60" s="205" t="s">
        <v>28</v>
      </c>
      <c r="N60" s="206"/>
      <c r="O60" s="205" t="s">
        <v>28</v>
      </c>
      <c r="P60" s="206"/>
      <c r="Q60" s="78"/>
      <c r="R60" s="78"/>
      <c r="S60" s="78"/>
      <c r="T60" s="78"/>
      <c r="U60" s="78"/>
      <c r="V60" s="78"/>
      <c r="W60" s="83"/>
      <c r="X60" s="82"/>
      <c r="Y60" s="78"/>
      <c r="Z60" s="78"/>
      <c r="AA60" s="78"/>
      <c r="AB60" s="78"/>
      <c r="AC60" s="78"/>
      <c r="AD60" s="83"/>
      <c r="AE60" s="82" t="s">
        <v>66</v>
      </c>
      <c r="AF60" s="78"/>
      <c r="AG60" s="78"/>
      <c r="AH60" s="78"/>
      <c r="AI60" s="78"/>
      <c r="AJ60" s="78"/>
      <c r="AK60" s="78"/>
      <c r="AL60" s="78"/>
      <c r="AM60" s="78"/>
      <c r="AN60" s="78"/>
      <c r="AO60" s="78"/>
      <c r="AP60" s="78"/>
      <c r="AQ60" s="78"/>
      <c r="AR60" s="78"/>
      <c r="AS60" s="78"/>
      <c r="AT60" s="78"/>
      <c r="AU60" s="78"/>
      <c r="AV60" s="237" t="s">
        <v>146</v>
      </c>
      <c r="AW60" s="237"/>
      <c r="AX60" s="237"/>
      <c r="AY60" s="237"/>
      <c r="AZ60" s="237"/>
      <c r="BA60" s="237"/>
      <c r="BB60" s="238"/>
    </row>
    <row r="61" spans="2:54" ht="15.75" customHeight="1">
      <c r="B61" s="85">
        <f t="shared" si="1"/>
        <v>8</v>
      </c>
      <c r="C61" s="82" t="s">
        <v>56</v>
      </c>
      <c r="D61" s="79"/>
      <c r="E61" s="79"/>
      <c r="F61" s="79"/>
      <c r="G61" s="79"/>
      <c r="H61" s="80"/>
      <c r="I61" s="77" t="s">
        <v>27</v>
      </c>
      <c r="J61" s="79"/>
      <c r="K61" s="79"/>
      <c r="L61" s="80"/>
      <c r="M61" s="204" t="s">
        <v>28</v>
      </c>
      <c r="N61" s="204"/>
      <c r="O61" s="204" t="s">
        <v>28</v>
      </c>
      <c r="P61" s="204"/>
      <c r="Q61" s="79"/>
      <c r="R61" s="79"/>
      <c r="S61" s="79"/>
      <c r="T61" s="79"/>
      <c r="U61" s="79"/>
      <c r="V61" s="79"/>
      <c r="W61" s="80"/>
      <c r="X61" s="77"/>
      <c r="Y61" s="79"/>
      <c r="Z61" s="79"/>
      <c r="AA61" s="79"/>
      <c r="AB61" s="79"/>
      <c r="AC61" s="79"/>
      <c r="AD61" s="80"/>
      <c r="AE61" s="77" t="s">
        <v>67</v>
      </c>
      <c r="AF61" s="61"/>
      <c r="AG61" s="61"/>
      <c r="AH61" s="61"/>
      <c r="AI61" s="61"/>
      <c r="AJ61" s="61"/>
      <c r="AK61" s="61"/>
      <c r="AL61" s="61"/>
      <c r="AM61" s="61"/>
      <c r="AN61" s="61"/>
      <c r="AO61" s="61"/>
      <c r="AP61" s="61"/>
      <c r="AQ61" s="61"/>
      <c r="AR61" s="61"/>
      <c r="AS61" s="61"/>
      <c r="AT61" s="61"/>
      <c r="AU61" s="61"/>
      <c r="AV61" s="237" t="s">
        <v>147</v>
      </c>
      <c r="AW61" s="237"/>
      <c r="AX61" s="237"/>
      <c r="AY61" s="237"/>
      <c r="AZ61" s="237"/>
      <c r="BA61" s="237"/>
      <c r="BB61" s="238"/>
    </row>
    <row r="62" spans="2:54" ht="16.5" customHeight="1" thickBot="1">
      <c r="B62" s="63">
        <f t="shared" si="0"/>
        <v>9</v>
      </c>
      <c r="C62" s="94" t="s">
        <v>50</v>
      </c>
      <c r="D62" s="95"/>
      <c r="E62" s="95"/>
      <c r="F62" s="95"/>
      <c r="G62" s="95"/>
      <c r="H62" s="96"/>
      <c r="I62" s="94" t="s">
        <v>27</v>
      </c>
      <c r="J62" s="95"/>
      <c r="K62" s="95"/>
      <c r="L62" s="96"/>
      <c r="M62" s="202" t="s">
        <v>28</v>
      </c>
      <c r="N62" s="203"/>
      <c r="O62" s="202"/>
      <c r="P62" s="203"/>
      <c r="Q62" s="95"/>
      <c r="R62" s="95"/>
      <c r="S62" s="95"/>
      <c r="T62" s="95"/>
      <c r="U62" s="95"/>
      <c r="V62" s="95"/>
      <c r="W62" s="96"/>
      <c r="X62" s="94"/>
      <c r="Y62" s="95"/>
      <c r="Z62" s="95"/>
      <c r="AA62" s="95"/>
      <c r="AB62" s="95"/>
      <c r="AC62" s="95"/>
      <c r="AD62" s="96"/>
      <c r="AE62" s="94" t="s">
        <v>61</v>
      </c>
      <c r="AF62" s="65"/>
      <c r="AG62" s="65"/>
      <c r="AH62" s="65"/>
      <c r="AI62" s="65"/>
      <c r="AJ62" s="65"/>
      <c r="AK62" s="65"/>
      <c r="AL62" s="65"/>
      <c r="AM62" s="65"/>
      <c r="AN62" s="65"/>
      <c r="AO62" s="65"/>
      <c r="AP62" s="65"/>
      <c r="AQ62" s="65"/>
      <c r="AR62" s="65"/>
      <c r="AS62" s="65"/>
      <c r="AT62" s="65"/>
      <c r="AU62" s="65"/>
      <c r="AV62" s="239" t="s">
        <v>148</v>
      </c>
      <c r="AW62" s="239"/>
      <c r="AX62" s="239"/>
      <c r="AY62" s="239"/>
      <c r="AZ62" s="239"/>
      <c r="BA62" s="239"/>
      <c r="BB62" s="240"/>
    </row>
    <row r="63" spans="2:54" ht="7.9" customHeight="1"/>
  </sheetData>
  <mergeCells count="85">
    <mergeCell ref="AV58:BB58"/>
    <mergeCell ref="AV59:BB59"/>
    <mergeCell ref="AV60:BB60"/>
    <mergeCell ref="AV61:BB61"/>
    <mergeCell ref="AV62:BB62"/>
    <mergeCell ref="AV53:BB53"/>
    <mergeCell ref="AV56:BB56"/>
    <mergeCell ref="AV57:BB57"/>
    <mergeCell ref="AV55:BB55"/>
    <mergeCell ref="AV54:BB54"/>
    <mergeCell ref="M59:N59"/>
    <mergeCell ref="O59:P59"/>
    <mergeCell ref="M57:N57"/>
    <mergeCell ref="O57:P57"/>
    <mergeCell ref="M58:N58"/>
    <mergeCell ref="O58:P58"/>
    <mergeCell ref="AL21:AR22"/>
    <mergeCell ref="AS21:AT22"/>
    <mergeCell ref="M62:N62"/>
    <mergeCell ref="O62:P62"/>
    <mergeCell ref="M53:N53"/>
    <mergeCell ref="O53:P53"/>
    <mergeCell ref="M60:N60"/>
    <mergeCell ref="O60:P60"/>
    <mergeCell ref="M54:N54"/>
    <mergeCell ref="O54:P54"/>
    <mergeCell ref="M61:N61"/>
    <mergeCell ref="O61:P61"/>
    <mergeCell ref="M55:N55"/>
    <mergeCell ref="O55:P55"/>
    <mergeCell ref="M56:N56"/>
    <mergeCell ref="O56:P56"/>
    <mergeCell ref="M52:N52"/>
    <mergeCell ref="O52:P52"/>
    <mergeCell ref="J17:S18"/>
    <mergeCell ref="T17:AC18"/>
    <mergeCell ref="AD17:AK18"/>
    <mergeCell ref="J21:S22"/>
    <mergeCell ref="T21:AC22"/>
    <mergeCell ref="AD21:AK22"/>
    <mergeCell ref="AL17:AR18"/>
    <mergeCell ref="AS17:AT18"/>
    <mergeCell ref="J19:S20"/>
    <mergeCell ref="T19:AC20"/>
    <mergeCell ref="AD19:AK20"/>
    <mergeCell ref="AL19:AR20"/>
    <mergeCell ref="AS19:AT20"/>
    <mergeCell ref="J15:S16"/>
    <mergeCell ref="T15:AC16"/>
    <mergeCell ref="AD15:AK16"/>
    <mergeCell ref="AL15:AR16"/>
    <mergeCell ref="AL4:AU4"/>
    <mergeCell ref="F10:Z11"/>
    <mergeCell ref="J13:S14"/>
    <mergeCell ref="T13:AC14"/>
    <mergeCell ref="AD13:AK14"/>
    <mergeCell ref="AL13:AR14"/>
    <mergeCell ref="AV4:AX4"/>
    <mergeCell ref="AY4:BA4"/>
    <mergeCell ref="B6:K6"/>
    <mergeCell ref="L6:N6"/>
    <mergeCell ref="O6:Q6"/>
    <mergeCell ref="R6:T6"/>
    <mergeCell ref="C4:E4"/>
    <mergeCell ref="F4:G4"/>
    <mergeCell ref="H4:S4"/>
    <mergeCell ref="T4:U4"/>
    <mergeCell ref="V4:AE4"/>
    <mergeCell ref="AI4:AJ4"/>
    <mergeCell ref="AP2:AS2"/>
    <mergeCell ref="AT2:AX2"/>
    <mergeCell ref="AY2:BB2"/>
    <mergeCell ref="M3:Q3"/>
    <mergeCell ref="S3:W3"/>
    <mergeCell ref="Y3:AC3"/>
    <mergeCell ref="AL3:AO3"/>
    <mergeCell ref="AP3:AS3"/>
    <mergeCell ref="AT3:AX3"/>
    <mergeCell ref="AY3:BB3"/>
    <mergeCell ref="AL2:AO2"/>
    <mergeCell ref="B2:K3"/>
    <mergeCell ref="L2:Q2"/>
    <mergeCell ref="R2:W2"/>
    <mergeCell ref="X2:AC2"/>
    <mergeCell ref="AD2:AK3"/>
  </mergeCells>
  <phoneticPr fontId="3"/>
  <pageMargins left="0.35433070866141736" right="0.39370078740157483" top="0.78740157480314965" bottom="0.39370078740157483" header="0.39370078740157483" footer="0.39370078740157483"/>
  <pageSetup paperSize="9" scale="63" fitToHeight="0" orientation="landscape" r:id="rId1"/>
  <headerFooter alignWithMargins="0">
    <oddHeader>&amp;R&amp;G</oddHeader>
    <oddFooter>&amp;C&amp;8&amp;P&amp;R&amp;9©2021 SUS Co., Ltd. All right reserved</oddFooter>
  </headerFooter>
  <rowBreaks count="1" manualBreakCount="1">
    <brk id="50" max="54" man="1"/>
  </rowBreaks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7DC29-2379-4C98-AA50-54F0AAD8EFAB}">
  <sheetPr>
    <pageSetUpPr fitToPage="1"/>
  </sheetPr>
  <dimension ref="A1:BC55"/>
  <sheetViews>
    <sheetView showGridLines="0" topLeftCell="AI41" zoomScale="214" zoomScaleNormal="70" zoomScaleSheetLayoutView="85" workbookViewId="0">
      <selection activeCell="AV52" sqref="AV52:BB54"/>
    </sheetView>
  </sheetViews>
  <sheetFormatPr defaultColWidth="3.75" defaultRowHeight="15.75"/>
  <cols>
    <col min="1" max="1" width="0.875" style="44" customWidth="1"/>
    <col min="2" max="2" width="4" style="44" customWidth="1"/>
    <col min="3" max="54" width="3.75" style="44"/>
    <col min="55" max="55" width="0.875" style="44" customWidth="1"/>
    <col min="56" max="16384" width="3.75" style="44"/>
  </cols>
  <sheetData>
    <row r="1" spans="1:55" s="38" customFormat="1" ht="6.75" customHeight="1" thickBot="1">
      <c r="A1" s="35"/>
      <c r="B1" s="36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</row>
    <row r="2" spans="1:55" s="38" customFormat="1" ht="20.25" customHeight="1" thickTop="1">
      <c r="A2" s="37"/>
      <c r="B2" s="97" t="str">
        <f>改版履歴!B2</f>
        <v>楽曲検索システム</v>
      </c>
      <c r="C2" s="98"/>
      <c r="D2" s="98"/>
      <c r="E2" s="98"/>
      <c r="F2" s="98"/>
      <c r="G2" s="98"/>
      <c r="H2" s="98"/>
      <c r="I2" s="98"/>
      <c r="J2" s="98"/>
      <c r="K2" s="99"/>
      <c r="L2" s="103" t="str">
        <f>改版履歴!L2</f>
        <v>システム</v>
      </c>
      <c r="M2" s="104"/>
      <c r="N2" s="104"/>
      <c r="O2" s="104"/>
      <c r="P2" s="104"/>
      <c r="Q2" s="104"/>
      <c r="R2" s="104" t="str">
        <f>改版履歴!R2</f>
        <v>サブシステム</v>
      </c>
      <c r="S2" s="104"/>
      <c r="T2" s="104"/>
      <c r="U2" s="104"/>
      <c r="V2" s="104"/>
      <c r="W2" s="104"/>
      <c r="X2" s="104" t="str">
        <f>改版履歴!X2</f>
        <v>プログラム</v>
      </c>
      <c r="Y2" s="104"/>
      <c r="Z2" s="104"/>
      <c r="AA2" s="104"/>
      <c r="AB2" s="104"/>
      <c r="AC2" s="104"/>
      <c r="AD2" s="105" t="str">
        <f ca="1">MID(CELL("filename",$A$1),FIND("]",CELL("filename",$A$1))+1,31)</f>
        <v>⑤変更確認ダイアログ</v>
      </c>
      <c r="AE2" s="106"/>
      <c r="AF2" s="106"/>
      <c r="AG2" s="106"/>
      <c r="AH2" s="106"/>
      <c r="AI2" s="106"/>
      <c r="AJ2" s="106"/>
      <c r="AK2" s="107"/>
      <c r="AL2" s="111" t="s">
        <v>4</v>
      </c>
      <c r="AM2" s="112"/>
      <c r="AN2" s="112"/>
      <c r="AO2" s="113"/>
      <c r="AP2" s="111" t="s">
        <v>5</v>
      </c>
      <c r="AQ2" s="112"/>
      <c r="AR2" s="112"/>
      <c r="AS2" s="113"/>
      <c r="AT2" s="114" t="s">
        <v>6</v>
      </c>
      <c r="AU2" s="115"/>
      <c r="AV2" s="115"/>
      <c r="AW2" s="115"/>
      <c r="AX2" s="116"/>
      <c r="AY2" s="117" t="s">
        <v>7</v>
      </c>
      <c r="AZ2" s="118"/>
      <c r="BA2" s="118"/>
      <c r="BB2" s="119"/>
      <c r="BC2" s="37"/>
    </row>
    <row r="3" spans="1:55" s="38" customFormat="1" ht="20.25" customHeight="1" thickBot="1">
      <c r="A3" s="37"/>
      <c r="B3" s="100"/>
      <c r="C3" s="101"/>
      <c r="D3" s="101"/>
      <c r="E3" s="101"/>
      <c r="F3" s="101"/>
      <c r="G3" s="101"/>
      <c r="H3" s="101"/>
      <c r="I3" s="101"/>
      <c r="J3" s="101"/>
      <c r="K3" s="102"/>
      <c r="L3" s="39" t="s">
        <v>8</v>
      </c>
      <c r="M3" s="120" t="str">
        <f>IF(改版履歴!M3=0,"",改版履歴!M3)</f>
        <v/>
      </c>
      <c r="N3" s="121"/>
      <c r="O3" s="121"/>
      <c r="P3" s="121"/>
      <c r="Q3" s="122"/>
      <c r="R3" s="40" t="s">
        <v>8</v>
      </c>
      <c r="S3" s="120" t="str">
        <f>IF(改版履歴!S3=0,"",改版履歴!S3)</f>
        <v/>
      </c>
      <c r="T3" s="121"/>
      <c r="U3" s="121"/>
      <c r="V3" s="121"/>
      <c r="W3" s="122"/>
      <c r="X3" s="40" t="s">
        <v>8</v>
      </c>
      <c r="Y3" s="120" t="str">
        <f>IF(改版履歴!Y3=0,"",改版履歴!Y3)</f>
        <v/>
      </c>
      <c r="Z3" s="121"/>
      <c r="AA3" s="121"/>
      <c r="AB3" s="121"/>
      <c r="AC3" s="122"/>
      <c r="AD3" s="108"/>
      <c r="AE3" s="109"/>
      <c r="AF3" s="109"/>
      <c r="AG3" s="109"/>
      <c r="AH3" s="109"/>
      <c r="AI3" s="109"/>
      <c r="AJ3" s="109"/>
      <c r="AK3" s="110"/>
      <c r="AL3" s="123">
        <f>改版履歴!AL3</f>
        <v>46139</v>
      </c>
      <c r="AM3" s="124"/>
      <c r="AN3" s="124"/>
      <c r="AO3" s="125"/>
      <c r="AP3" s="123">
        <f>改版履歴!AP3</f>
        <v>46177</v>
      </c>
      <c r="AQ3" s="124"/>
      <c r="AR3" s="124"/>
      <c r="AS3" s="125"/>
      <c r="AT3" s="126" t="str">
        <f>改版履歴!AT3</f>
        <v>野村　翼</v>
      </c>
      <c r="AU3" s="127"/>
      <c r="AV3" s="127"/>
      <c r="AW3" s="127"/>
      <c r="AX3" s="128"/>
      <c r="AY3" s="111" t="str">
        <f>改版履歴!AY3</f>
        <v>第1.6版</v>
      </c>
      <c r="AZ3" s="112"/>
      <c r="BA3" s="112"/>
      <c r="BB3" s="113"/>
      <c r="BC3" s="37"/>
    </row>
    <row r="4" spans="1:55" s="38" customFormat="1" ht="6.75" customHeight="1" thickTop="1" thickBot="1">
      <c r="A4" s="41"/>
      <c r="B4" s="41"/>
      <c r="C4" s="131"/>
      <c r="D4" s="131"/>
      <c r="E4" s="131"/>
      <c r="F4" s="131"/>
      <c r="G4" s="131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42"/>
      <c r="AG4" s="42"/>
      <c r="AH4" s="42"/>
      <c r="AI4" s="133"/>
      <c r="AJ4" s="133"/>
      <c r="AK4" s="42"/>
      <c r="AL4" s="133"/>
      <c r="AM4" s="133"/>
      <c r="AN4" s="133"/>
      <c r="AO4" s="133"/>
      <c r="AP4" s="133"/>
      <c r="AQ4" s="133"/>
      <c r="AR4" s="133"/>
      <c r="AS4" s="133"/>
      <c r="AT4" s="133"/>
      <c r="AU4" s="133"/>
      <c r="AV4" s="133"/>
      <c r="AW4" s="133"/>
      <c r="AX4" s="133"/>
      <c r="AY4" s="133"/>
      <c r="AZ4" s="133"/>
      <c r="BA4" s="133"/>
      <c r="BB4" s="42"/>
      <c r="BC4" s="41"/>
    </row>
    <row r="5" spans="1:55" s="43" customFormat="1" ht="16.5" thickBot="1">
      <c r="B5" s="53" t="s">
        <v>15</v>
      </c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5"/>
      <c r="AF5" s="55"/>
      <c r="AG5" s="55"/>
      <c r="AH5" s="55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6"/>
    </row>
    <row r="6" spans="1:55" ht="30.75" customHeight="1">
      <c r="B6" s="207"/>
      <c r="C6" s="208"/>
      <c r="D6" s="208"/>
      <c r="E6" s="208"/>
      <c r="F6" s="208"/>
      <c r="G6" s="208"/>
      <c r="H6" s="208"/>
      <c r="I6" s="208"/>
      <c r="J6" s="208"/>
      <c r="K6" s="208"/>
      <c r="L6" s="208"/>
      <c r="M6" s="208"/>
      <c r="N6" s="208"/>
      <c r="O6" s="208"/>
      <c r="P6" s="208"/>
      <c r="Q6" s="208"/>
      <c r="R6" s="208"/>
      <c r="S6" s="208"/>
      <c r="T6" s="208"/>
      <c r="U6" s="208"/>
      <c r="V6" s="208"/>
      <c r="W6" s="208"/>
      <c r="X6" s="208"/>
      <c r="Y6" s="208"/>
      <c r="Z6" s="208"/>
      <c r="AA6" s="208"/>
      <c r="AB6" s="208"/>
      <c r="AC6" s="208"/>
      <c r="AD6" s="208"/>
      <c r="AE6" s="208"/>
      <c r="AF6" s="208"/>
      <c r="AG6" s="208"/>
      <c r="AH6" s="208"/>
      <c r="AI6" s="208"/>
      <c r="AJ6" s="208"/>
      <c r="AK6" s="208"/>
      <c r="AL6" s="208"/>
      <c r="AM6" s="208"/>
      <c r="AN6" s="208"/>
      <c r="AO6" s="208"/>
      <c r="AP6" s="208"/>
      <c r="AQ6" s="208"/>
      <c r="AR6" s="208"/>
      <c r="AS6" s="208"/>
      <c r="AT6" s="208"/>
      <c r="AU6" s="208"/>
      <c r="AV6" s="208"/>
      <c r="AW6" s="208"/>
      <c r="AX6" s="208"/>
      <c r="AY6" s="208"/>
      <c r="AZ6" s="208"/>
      <c r="BA6" s="208"/>
      <c r="BB6" s="209"/>
    </row>
    <row r="7" spans="1:55" ht="18.75" customHeight="1">
      <c r="B7" s="210"/>
      <c r="C7" s="211"/>
      <c r="D7" s="211"/>
      <c r="E7" s="211"/>
      <c r="F7" s="211"/>
      <c r="G7" s="211"/>
      <c r="H7" s="211"/>
      <c r="I7" s="211"/>
      <c r="J7" s="211"/>
      <c r="K7" s="211"/>
      <c r="L7" s="211"/>
      <c r="M7" s="211"/>
      <c r="N7" s="211"/>
      <c r="O7" s="211"/>
      <c r="P7" s="211"/>
      <c r="Q7" s="211"/>
      <c r="R7" s="211"/>
      <c r="S7" s="211"/>
      <c r="T7" s="211"/>
      <c r="U7" s="211"/>
      <c r="V7" s="211"/>
      <c r="W7" s="211"/>
      <c r="X7" s="211"/>
      <c r="Y7" s="211"/>
      <c r="Z7" s="211"/>
      <c r="AA7" s="211"/>
      <c r="AB7" s="211"/>
      <c r="AC7" s="211"/>
      <c r="AD7" s="211"/>
      <c r="AE7" s="211"/>
      <c r="AF7" s="211"/>
      <c r="AG7" s="211"/>
      <c r="AH7" s="211"/>
      <c r="AI7" s="211"/>
      <c r="AJ7" s="211"/>
      <c r="AK7" s="211"/>
      <c r="AL7" s="211"/>
      <c r="AM7" s="211"/>
      <c r="AN7" s="211"/>
      <c r="AO7" s="211"/>
      <c r="AP7" s="211"/>
      <c r="AQ7" s="211"/>
      <c r="AR7" s="211"/>
      <c r="AS7" s="211"/>
      <c r="AT7" s="211"/>
      <c r="AU7" s="211"/>
      <c r="AV7" s="211"/>
      <c r="AW7" s="211"/>
      <c r="AX7" s="211"/>
      <c r="AY7" s="211"/>
      <c r="AZ7" s="211"/>
      <c r="BA7" s="211"/>
      <c r="BB7" s="212"/>
    </row>
    <row r="8" spans="1:55" ht="18.75" customHeight="1">
      <c r="B8" s="210"/>
      <c r="C8" s="211"/>
      <c r="D8" s="211"/>
      <c r="E8" s="211"/>
      <c r="F8" s="211"/>
      <c r="G8" s="211"/>
      <c r="H8" s="211"/>
      <c r="I8" s="211"/>
      <c r="J8" s="211"/>
      <c r="K8" s="211"/>
      <c r="L8" s="211"/>
      <c r="M8" s="211"/>
      <c r="N8" s="211"/>
      <c r="O8" s="211"/>
      <c r="P8" s="211"/>
      <c r="Q8" s="211"/>
      <c r="R8" s="211"/>
      <c r="S8" s="211"/>
      <c r="T8" s="211"/>
      <c r="U8" s="211"/>
      <c r="V8" s="211"/>
      <c r="W8" s="211"/>
      <c r="X8" s="211"/>
      <c r="Y8" s="211"/>
      <c r="Z8" s="211"/>
      <c r="AA8" s="211"/>
      <c r="AB8" s="211"/>
      <c r="AC8" s="211"/>
      <c r="AD8" s="211"/>
      <c r="AE8" s="211"/>
      <c r="AF8" s="211"/>
      <c r="AG8" s="211"/>
      <c r="AH8" s="211"/>
      <c r="AI8" s="211"/>
      <c r="AJ8" s="211"/>
      <c r="AK8" s="211"/>
      <c r="AL8" s="211"/>
      <c r="AM8" s="211"/>
      <c r="AN8" s="211"/>
      <c r="AO8" s="211"/>
      <c r="AP8" s="211"/>
      <c r="AQ8" s="211"/>
      <c r="AR8" s="211"/>
      <c r="AS8" s="211"/>
      <c r="AT8" s="211"/>
      <c r="AU8" s="211"/>
      <c r="AV8" s="211"/>
      <c r="AW8" s="211"/>
      <c r="AX8" s="211"/>
      <c r="AY8" s="211"/>
      <c r="AZ8" s="211"/>
      <c r="BA8" s="211"/>
      <c r="BB8" s="212"/>
    </row>
    <row r="9" spans="1:55" ht="18.75" customHeight="1">
      <c r="B9" s="210"/>
      <c r="C9" s="211"/>
      <c r="D9" s="211"/>
      <c r="E9" s="211"/>
      <c r="F9" s="211"/>
      <c r="G9" s="211"/>
      <c r="H9" s="211"/>
      <c r="I9" s="211"/>
      <c r="J9" s="211"/>
      <c r="K9" s="211"/>
      <c r="L9" s="211"/>
      <c r="M9" s="211"/>
      <c r="N9" s="211"/>
      <c r="O9" s="211"/>
      <c r="P9" s="211"/>
      <c r="Q9" s="211"/>
      <c r="R9" s="211"/>
      <c r="S9" s="211"/>
      <c r="T9" s="211"/>
      <c r="U9" s="211"/>
      <c r="V9" s="211"/>
      <c r="W9" s="211"/>
      <c r="X9" s="211"/>
      <c r="Y9" s="211"/>
      <c r="Z9" s="211"/>
      <c r="AA9" s="211"/>
      <c r="AB9" s="211"/>
      <c r="AC9" s="211"/>
      <c r="AD9" s="211"/>
      <c r="AE9" s="211"/>
      <c r="AF9" s="211"/>
      <c r="AG9" s="211"/>
      <c r="AH9" s="211"/>
      <c r="AI9" s="211"/>
      <c r="AJ9" s="211"/>
      <c r="AK9" s="211"/>
      <c r="AL9" s="211"/>
      <c r="AM9" s="211"/>
      <c r="AN9" s="211"/>
      <c r="AO9" s="211"/>
      <c r="AP9" s="211"/>
      <c r="AQ9" s="211"/>
      <c r="AR9" s="211"/>
      <c r="AS9" s="211"/>
      <c r="AT9" s="211"/>
      <c r="AU9" s="211"/>
      <c r="AV9" s="211"/>
      <c r="AW9" s="211"/>
      <c r="AX9" s="211"/>
      <c r="AY9" s="211"/>
      <c r="AZ9" s="211"/>
      <c r="BA9" s="211"/>
      <c r="BB9" s="212"/>
    </row>
    <row r="10" spans="1:55" ht="15.75" customHeight="1">
      <c r="B10" s="210"/>
      <c r="C10" s="211"/>
      <c r="D10" s="211"/>
      <c r="E10" s="211"/>
      <c r="F10" s="211"/>
      <c r="G10" s="211"/>
      <c r="H10" s="211"/>
      <c r="I10" s="211"/>
      <c r="J10" s="211"/>
      <c r="K10" s="211"/>
      <c r="L10" s="211"/>
      <c r="M10" s="211"/>
      <c r="N10" s="211"/>
      <c r="O10" s="211"/>
      <c r="P10" s="211"/>
      <c r="Q10" s="211"/>
      <c r="R10" s="211"/>
      <c r="S10" s="211"/>
      <c r="T10" s="211"/>
      <c r="U10" s="211"/>
      <c r="V10" s="211"/>
      <c r="W10" s="211"/>
      <c r="X10" s="211"/>
      <c r="Y10" s="211"/>
      <c r="Z10" s="211"/>
      <c r="AA10" s="211"/>
      <c r="AB10" s="211"/>
      <c r="AC10" s="211"/>
      <c r="AD10" s="211"/>
      <c r="AE10" s="211"/>
      <c r="AF10" s="211"/>
      <c r="AG10" s="211"/>
      <c r="AH10" s="211"/>
      <c r="AI10" s="211"/>
      <c r="AJ10" s="211"/>
      <c r="AK10" s="211"/>
      <c r="AL10" s="211"/>
      <c r="AM10" s="211"/>
      <c r="AN10" s="211"/>
      <c r="AO10" s="211"/>
      <c r="AP10" s="211"/>
      <c r="AQ10" s="211"/>
      <c r="AR10" s="211"/>
      <c r="AS10" s="211"/>
      <c r="AT10" s="211"/>
      <c r="AU10" s="211"/>
      <c r="AV10" s="211"/>
      <c r="AW10" s="211"/>
      <c r="AX10" s="211"/>
      <c r="AY10" s="211"/>
      <c r="AZ10" s="211"/>
      <c r="BA10" s="211"/>
      <c r="BB10" s="212"/>
    </row>
    <row r="11" spans="1:55" ht="15.75" customHeight="1">
      <c r="B11" s="210"/>
      <c r="C11" s="211"/>
      <c r="D11" s="211"/>
      <c r="E11" s="211"/>
      <c r="F11" s="211"/>
      <c r="G11" s="211"/>
      <c r="H11" s="211"/>
      <c r="I11" s="211"/>
      <c r="J11" s="211"/>
      <c r="K11" s="211"/>
      <c r="L11" s="211"/>
      <c r="M11" s="211"/>
      <c r="N11" s="211"/>
      <c r="O11" s="211"/>
      <c r="P11" s="211"/>
      <c r="Q11" s="211"/>
      <c r="R11" s="211"/>
      <c r="S11" s="211"/>
      <c r="T11" s="211"/>
      <c r="U11" s="211"/>
      <c r="V11" s="211"/>
      <c r="W11" s="211"/>
      <c r="X11" s="211"/>
      <c r="Y11" s="211"/>
      <c r="Z11" s="211"/>
      <c r="AA11" s="211"/>
      <c r="AB11" s="211"/>
      <c r="AC11" s="211"/>
      <c r="AD11" s="211"/>
      <c r="AE11" s="211"/>
      <c r="AF11" s="211"/>
      <c r="AG11" s="211"/>
      <c r="AH11" s="211"/>
      <c r="AI11" s="211"/>
      <c r="AJ11" s="211"/>
      <c r="AK11" s="211"/>
      <c r="AL11" s="211"/>
      <c r="AM11" s="211"/>
      <c r="AN11" s="211"/>
      <c r="AO11" s="211"/>
      <c r="AP11" s="211"/>
      <c r="AQ11" s="211"/>
      <c r="AR11" s="211"/>
      <c r="AS11" s="211"/>
      <c r="AT11" s="211"/>
      <c r="AU11" s="211"/>
      <c r="AV11" s="211"/>
      <c r="AW11" s="211"/>
      <c r="AX11" s="211"/>
      <c r="AY11" s="211"/>
      <c r="AZ11" s="211"/>
      <c r="BA11" s="211"/>
      <c r="BB11" s="212"/>
    </row>
    <row r="12" spans="1:55" ht="18.75" customHeight="1">
      <c r="B12" s="210"/>
      <c r="C12" s="211"/>
      <c r="D12" s="211"/>
      <c r="E12" s="211"/>
      <c r="F12" s="211"/>
      <c r="G12" s="211"/>
      <c r="H12" s="211"/>
      <c r="I12" s="211"/>
      <c r="J12" s="211"/>
      <c r="K12" s="211"/>
      <c r="L12" s="211"/>
      <c r="M12" s="211"/>
      <c r="N12" s="211"/>
      <c r="O12" s="211"/>
      <c r="P12" s="211"/>
      <c r="Q12" s="211"/>
      <c r="R12" s="211"/>
      <c r="S12" s="211"/>
      <c r="T12" s="211"/>
      <c r="U12" s="211"/>
      <c r="V12" s="211"/>
      <c r="W12" s="211"/>
      <c r="X12" s="211"/>
      <c r="Y12" s="211"/>
      <c r="Z12" s="211"/>
      <c r="AA12" s="211"/>
      <c r="AB12" s="211"/>
      <c r="AC12" s="211"/>
      <c r="AD12" s="211"/>
      <c r="AE12" s="211"/>
      <c r="AF12" s="211"/>
      <c r="AG12" s="211"/>
      <c r="AH12" s="211"/>
      <c r="AI12" s="211"/>
      <c r="AJ12" s="211"/>
      <c r="AK12" s="211"/>
      <c r="AL12" s="211"/>
      <c r="AM12" s="211"/>
      <c r="AN12" s="211"/>
      <c r="AO12" s="211"/>
      <c r="AP12" s="211"/>
      <c r="AQ12" s="211"/>
      <c r="AR12" s="211"/>
      <c r="AS12" s="211"/>
      <c r="AT12" s="211"/>
      <c r="AU12" s="211"/>
      <c r="AV12" s="211"/>
      <c r="AW12" s="211"/>
      <c r="AX12" s="211"/>
      <c r="AY12" s="211"/>
      <c r="AZ12" s="211"/>
      <c r="BA12" s="211"/>
      <c r="BB12" s="212"/>
    </row>
    <row r="13" spans="1:55" ht="15.75" customHeight="1">
      <c r="B13" s="210"/>
      <c r="C13" s="211"/>
      <c r="D13" s="211"/>
      <c r="E13" s="211"/>
      <c r="F13" s="211"/>
      <c r="G13" s="211"/>
      <c r="H13" s="211"/>
      <c r="I13" s="211"/>
      <c r="J13" s="211"/>
      <c r="K13" s="211"/>
      <c r="L13" s="211"/>
      <c r="M13" s="211"/>
      <c r="N13" s="211"/>
      <c r="O13" s="211"/>
      <c r="P13" s="211"/>
      <c r="Q13" s="211"/>
      <c r="R13" s="211"/>
      <c r="S13" s="211"/>
      <c r="T13" s="211"/>
      <c r="U13" s="211"/>
      <c r="V13" s="211"/>
      <c r="W13" s="211"/>
      <c r="X13" s="211"/>
      <c r="Y13" s="211"/>
      <c r="Z13" s="211"/>
      <c r="AA13" s="211"/>
      <c r="AB13" s="211"/>
      <c r="AC13" s="211"/>
      <c r="AD13" s="211"/>
      <c r="AE13" s="211"/>
      <c r="AF13" s="211"/>
      <c r="AG13" s="211"/>
      <c r="AH13" s="211"/>
      <c r="AI13" s="211"/>
      <c r="AJ13" s="211"/>
      <c r="AK13" s="211"/>
      <c r="AL13" s="211"/>
      <c r="AM13" s="211"/>
      <c r="AN13" s="211"/>
      <c r="AO13" s="211"/>
      <c r="AP13" s="211"/>
      <c r="AQ13" s="211"/>
      <c r="AR13" s="211"/>
      <c r="AS13" s="211"/>
      <c r="AT13" s="211"/>
      <c r="AU13" s="211"/>
      <c r="AV13" s="211"/>
      <c r="AW13" s="211"/>
      <c r="AX13" s="211"/>
      <c r="AY13" s="211"/>
      <c r="AZ13" s="211"/>
      <c r="BA13" s="211"/>
      <c r="BB13" s="212"/>
    </row>
    <row r="14" spans="1:55" ht="16.5" customHeight="1">
      <c r="B14" s="210"/>
      <c r="C14" s="211"/>
      <c r="D14" s="211"/>
      <c r="E14" s="211"/>
      <c r="F14" s="211"/>
      <c r="G14" s="211"/>
      <c r="H14" s="211"/>
      <c r="I14" s="211"/>
      <c r="J14" s="211"/>
      <c r="K14" s="211"/>
      <c r="L14" s="211"/>
      <c r="M14" s="211"/>
      <c r="N14" s="211"/>
      <c r="O14" s="211"/>
      <c r="P14" s="211"/>
      <c r="Q14" s="211"/>
      <c r="R14" s="211"/>
      <c r="S14" s="211"/>
      <c r="T14" s="211"/>
      <c r="U14" s="211"/>
      <c r="V14" s="211"/>
      <c r="W14" s="211"/>
      <c r="X14" s="211"/>
      <c r="Y14" s="211"/>
      <c r="Z14" s="211"/>
      <c r="AA14" s="211"/>
      <c r="AB14" s="211"/>
      <c r="AC14" s="211"/>
      <c r="AD14" s="211"/>
      <c r="AE14" s="211"/>
      <c r="AF14" s="211"/>
      <c r="AG14" s="211"/>
      <c r="AH14" s="211"/>
      <c r="AI14" s="211"/>
      <c r="AJ14" s="211"/>
      <c r="AK14" s="211"/>
      <c r="AL14" s="211"/>
      <c r="AM14" s="211"/>
      <c r="AN14" s="211"/>
      <c r="AO14" s="211"/>
      <c r="AP14" s="211"/>
      <c r="AQ14" s="211"/>
      <c r="AR14" s="211"/>
      <c r="AS14" s="211"/>
      <c r="AT14" s="211"/>
      <c r="AU14" s="211"/>
      <c r="AV14" s="211"/>
      <c r="AW14" s="211"/>
      <c r="AX14" s="211"/>
      <c r="AY14" s="211"/>
      <c r="AZ14" s="211"/>
      <c r="BA14" s="211"/>
      <c r="BB14" s="212"/>
    </row>
    <row r="15" spans="1:55" ht="15.75" customHeight="1">
      <c r="B15" s="210"/>
      <c r="C15" s="211"/>
      <c r="D15" s="211"/>
      <c r="E15" s="211"/>
      <c r="F15" s="211"/>
      <c r="G15" s="211"/>
      <c r="H15" s="211"/>
      <c r="I15" s="211"/>
      <c r="J15" s="211"/>
      <c r="K15" s="211"/>
      <c r="L15" s="211"/>
      <c r="M15" s="211"/>
      <c r="N15" s="211"/>
      <c r="O15" s="211"/>
      <c r="P15" s="211"/>
      <c r="Q15" s="211"/>
      <c r="R15" s="211"/>
      <c r="S15" s="211"/>
      <c r="T15" s="211"/>
      <c r="U15" s="211"/>
      <c r="V15" s="211"/>
      <c r="W15" s="211"/>
      <c r="X15" s="211"/>
      <c r="Y15" s="211"/>
      <c r="Z15" s="211"/>
      <c r="AA15" s="211"/>
      <c r="AB15" s="211"/>
      <c r="AC15" s="211"/>
      <c r="AD15" s="211"/>
      <c r="AE15" s="211"/>
      <c r="AF15" s="211"/>
      <c r="AG15" s="211"/>
      <c r="AH15" s="211"/>
      <c r="AI15" s="211"/>
      <c r="AJ15" s="211"/>
      <c r="AK15" s="211"/>
      <c r="AL15" s="211"/>
      <c r="AM15" s="211"/>
      <c r="AN15" s="211"/>
      <c r="AO15" s="211"/>
      <c r="AP15" s="211"/>
      <c r="AQ15" s="211"/>
      <c r="AR15" s="211"/>
      <c r="AS15" s="211"/>
      <c r="AT15" s="211"/>
      <c r="AU15" s="211"/>
      <c r="AV15" s="211"/>
      <c r="AW15" s="211"/>
      <c r="AX15" s="211"/>
      <c r="AY15" s="211"/>
      <c r="AZ15" s="211"/>
      <c r="BA15" s="211"/>
      <c r="BB15" s="212"/>
    </row>
    <row r="16" spans="1:55" ht="15.75" customHeight="1">
      <c r="B16" s="210"/>
      <c r="C16" s="211"/>
      <c r="D16" s="211"/>
      <c r="E16" s="211"/>
      <c r="F16" s="211"/>
      <c r="G16" s="211"/>
      <c r="H16" s="211"/>
      <c r="I16" s="211"/>
      <c r="J16" s="211"/>
      <c r="K16" s="211"/>
      <c r="L16" s="211"/>
      <c r="M16" s="211"/>
      <c r="N16" s="211"/>
      <c r="O16" s="211"/>
      <c r="P16" s="211"/>
      <c r="Q16" s="211"/>
      <c r="R16" s="211"/>
      <c r="S16" s="211"/>
      <c r="T16" s="211"/>
      <c r="U16" s="211"/>
      <c r="V16" s="211"/>
      <c r="W16" s="211"/>
      <c r="X16" s="211"/>
      <c r="Y16" s="211"/>
      <c r="Z16" s="211"/>
      <c r="AA16" s="211"/>
      <c r="AB16" s="211"/>
      <c r="AC16" s="211"/>
      <c r="AD16" s="211"/>
      <c r="AE16" s="211"/>
      <c r="AF16" s="211"/>
      <c r="AG16" s="211"/>
      <c r="AH16" s="211"/>
      <c r="AI16" s="211"/>
      <c r="AJ16" s="211"/>
      <c r="AK16" s="211"/>
      <c r="AL16" s="211"/>
      <c r="AM16" s="211"/>
      <c r="AN16" s="211"/>
      <c r="AO16" s="211"/>
      <c r="AP16" s="211"/>
      <c r="AQ16" s="211"/>
      <c r="AR16" s="211"/>
      <c r="AS16" s="211"/>
      <c r="AT16" s="211"/>
      <c r="AU16" s="211"/>
      <c r="AV16" s="211"/>
      <c r="AW16" s="211"/>
      <c r="AX16" s="211"/>
      <c r="AY16" s="211"/>
      <c r="AZ16" s="211"/>
      <c r="BA16" s="211"/>
      <c r="BB16" s="212"/>
    </row>
    <row r="17" spans="2:54" ht="15.75" customHeight="1">
      <c r="B17" s="210"/>
      <c r="C17" s="211"/>
      <c r="D17" s="211"/>
      <c r="E17" s="211"/>
      <c r="F17" s="211"/>
      <c r="G17" s="211"/>
      <c r="H17" s="211"/>
      <c r="I17" s="211"/>
      <c r="J17" s="211"/>
      <c r="K17" s="211"/>
      <c r="L17" s="211"/>
      <c r="M17" s="211"/>
      <c r="N17" s="211"/>
      <c r="O17" s="211"/>
      <c r="P17" s="211"/>
      <c r="Q17" s="211"/>
      <c r="R17" s="211"/>
      <c r="S17" s="211"/>
      <c r="T17" s="211"/>
      <c r="U17" s="211"/>
      <c r="V17" s="211"/>
      <c r="W17" s="211"/>
      <c r="X17" s="211"/>
      <c r="Y17" s="211"/>
      <c r="Z17" s="211"/>
      <c r="AA17" s="211"/>
      <c r="AB17" s="211"/>
      <c r="AC17" s="211"/>
      <c r="AD17" s="211"/>
      <c r="AE17" s="211"/>
      <c r="AF17" s="211"/>
      <c r="AG17" s="211"/>
      <c r="AH17" s="211"/>
      <c r="AI17" s="211"/>
      <c r="AJ17" s="211"/>
      <c r="AK17" s="211"/>
      <c r="AL17" s="211"/>
      <c r="AM17" s="211"/>
      <c r="AN17" s="211"/>
      <c r="AO17" s="211"/>
      <c r="AP17" s="211"/>
      <c r="AQ17" s="211"/>
      <c r="AR17" s="211"/>
      <c r="AS17" s="211"/>
      <c r="AT17" s="211"/>
      <c r="AU17" s="211"/>
      <c r="AV17" s="211"/>
      <c r="AW17" s="211"/>
      <c r="AX17" s="211"/>
      <c r="AY17" s="211"/>
      <c r="AZ17" s="211"/>
      <c r="BA17" s="211"/>
      <c r="BB17" s="212"/>
    </row>
    <row r="18" spans="2:54" ht="15.75" customHeight="1">
      <c r="B18" s="210"/>
      <c r="C18" s="211"/>
      <c r="D18" s="211"/>
      <c r="E18" s="211"/>
      <c r="F18" s="211"/>
      <c r="G18" s="211"/>
      <c r="H18" s="211"/>
      <c r="I18" s="211"/>
      <c r="J18" s="211"/>
      <c r="K18" s="211"/>
      <c r="L18" s="211"/>
      <c r="M18" s="211"/>
      <c r="N18" s="211"/>
      <c r="O18" s="211"/>
      <c r="P18" s="211"/>
      <c r="Q18" s="211"/>
      <c r="R18" s="211"/>
      <c r="S18" s="211"/>
      <c r="T18" s="211"/>
      <c r="U18" s="211"/>
      <c r="V18" s="211"/>
      <c r="W18" s="211"/>
      <c r="X18" s="211"/>
      <c r="Y18" s="211"/>
      <c r="Z18" s="211"/>
      <c r="AA18" s="211"/>
      <c r="AB18" s="211"/>
      <c r="AC18" s="211"/>
      <c r="AD18" s="211"/>
      <c r="AE18" s="211"/>
      <c r="AF18" s="211"/>
      <c r="AG18" s="211"/>
      <c r="AH18" s="211"/>
      <c r="AI18" s="211"/>
      <c r="AJ18" s="211"/>
      <c r="AK18" s="211"/>
      <c r="AL18" s="211"/>
      <c r="AM18" s="211"/>
      <c r="AN18" s="211"/>
      <c r="AO18" s="211"/>
      <c r="AP18" s="211"/>
      <c r="AQ18" s="211"/>
      <c r="AR18" s="211"/>
      <c r="AS18" s="211"/>
      <c r="AT18" s="211"/>
      <c r="AU18" s="211"/>
      <c r="AV18" s="211"/>
      <c r="AW18" s="211"/>
      <c r="AX18" s="211"/>
      <c r="AY18" s="211"/>
      <c r="AZ18" s="211"/>
      <c r="BA18" s="211"/>
      <c r="BB18" s="212"/>
    </row>
    <row r="19" spans="2:54" ht="15.75" customHeight="1">
      <c r="B19" s="210"/>
      <c r="C19" s="211"/>
      <c r="D19" s="211"/>
      <c r="E19" s="211"/>
      <c r="F19" s="211"/>
      <c r="G19" s="211"/>
      <c r="H19" s="211"/>
      <c r="I19" s="211"/>
      <c r="J19" s="211"/>
      <c r="K19" s="211"/>
      <c r="L19" s="211"/>
      <c r="M19" s="211"/>
      <c r="N19" s="211"/>
      <c r="O19" s="211"/>
      <c r="P19" s="211"/>
      <c r="Q19" s="211"/>
      <c r="R19" s="211"/>
      <c r="S19" s="211"/>
      <c r="T19" s="211"/>
      <c r="U19" s="211"/>
      <c r="V19" s="211"/>
      <c r="W19" s="211"/>
      <c r="X19" s="211"/>
      <c r="Y19" s="211"/>
      <c r="Z19" s="211"/>
      <c r="AA19" s="211"/>
      <c r="AB19" s="211"/>
      <c r="AC19" s="211"/>
      <c r="AD19" s="211"/>
      <c r="AE19" s="211"/>
      <c r="AF19" s="211"/>
      <c r="AG19" s="211"/>
      <c r="AH19" s="211"/>
      <c r="AI19" s="211"/>
      <c r="AJ19" s="211"/>
      <c r="AK19" s="211"/>
      <c r="AL19" s="211"/>
      <c r="AM19" s="211"/>
      <c r="AN19" s="211"/>
      <c r="AO19" s="211"/>
      <c r="AP19" s="211"/>
      <c r="AQ19" s="211"/>
      <c r="AR19" s="211"/>
      <c r="AS19" s="211"/>
      <c r="AT19" s="211"/>
      <c r="AU19" s="211"/>
      <c r="AV19" s="211"/>
      <c r="AW19" s="211"/>
      <c r="AX19" s="211"/>
      <c r="AY19" s="211"/>
      <c r="AZ19" s="211"/>
      <c r="BA19" s="211"/>
      <c r="BB19" s="212"/>
    </row>
    <row r="20" spans="2:54" ht="15.75" customHeight="1">
      <c r="B20" s="210"/>
      <c r="C20" s="211"/>
      <c r="D20" s="211"/>
      <c r="E20" s="211"/>
      <c r="F20" s="211"/>
      <c r="G20" s="211"/>
      <c r="H20" s="211"/>
      <c r="I20" s="211"/>
      <c r="J20" s="211"/>
      <c r="K20" s="211"/>
      <c r="L20" s="211"/>
      <c r="M20" s="211"/>
      <c r="N20" s="211"/>
      <c r="O20" s="211"/>
      <c r="P20" s="211"/>
      <c r="Q20" s="211"/>
      <c r="R20" s="211"/>
      <c r="S20" s="211"/>
      <c r="T20" s="211"/>
      <c r="U20" s="211"/>
      <c r="V20" s="211"/>
      <c r="W20" s="211"/>
      <c r="X20" s="211"/>
      <c r="Y20" s="211"/>
      <c r="Z20" s="211"/>
      <c r="AA20" s="211"/>
      <c r="AB20" s="211"/>
      <c r="AC20" s="211"/>
      <c r="AD20" s="211"/>
      <c r="AE20" s="211"/>
      <c r="AF20" s="211"/>
      <c r="AG20" s="211"/>
      <c r="AH20" s="211"/>
      <c r="AI20" s="211"/>
      <c r="AJ20" s="211"/>
      <c r="AK20" s="211"/>
      <c r="AL20" s="211"/>
      <c r="AM20" s="211"/>
      <c r="AN20" s="211"/>
      <c r="AO20" s="211"/>
      <c r="AP20" s="211"/>
      <c r="AQ20" s="211"/>
      <c r="AR20" s="211"/>
      <c r="AS20" s="211"/>
      <c r="AT20" s="211"/>
      <c r="AU20" s="211"/>
      <c r="AV20" s="211"/>
      <c r="AW20" s="211"/>
      <c r="AX20" s="211"/>
      <c r="AY20" s="211"/>
      <c r="AZ20" s="211"/>
      <c r="BA20" s="211"/>
      <c r="BB20" s="212"/>
    </row>
    <row r="21" spans="2:54" ht="15.75" customHeight="1">
      <c r="B21" s="210"/>
      <c r="C21" s="211"/>
      <c r="D21" s="211"/>
      <c r="E21" s="211"/>
      <c r="F21" s="211"/>
      <c r="G21" s="211"/>
      <c r="H21" s="211"/>
      <c r="I21" s="211"/>
      <c r="J21" s="211"/>
      <c r="K21" s="211"/>
      <c r="L21" s="211"/>
      <c r="M21" s="211"/>
      <c r="N21" s="211"/>
      <c r="O21" s="211"/>
      <c r="P21" s="211"/>
      <c r="Q21" s="211"/>
      <c r="R21" s="211"/>
      <c r="S21" s="211"/>
      <c r="T21" s="211"/>
      <c r="U21" s="211"/>
      <c r="V21" s="211"/>
      <c r="W21" s="211"/>
      <c r="X21" s="211"/>
      <c r="Y21" s="211"/>
      <c r="Z21" s="211"/>
      <c r="AA21" s="211"/>
      <c r="AB21" s="211"/>
      <c r="AC21" s="211"/>
      <c r="AD21" s="211"/>
      <c r="AE21" s="211"/>
      <c r="AF21" s="211"/>
      <c r="AG21" s="211"/>
      <c r="AH21" s="211"/>
      <c r="AI21" s="211"/>
      <c r="AJ21" s="211"/>
      <c r="AK21" s="211"/>
      <c r="AL21" s="211"/>
      <c r="AM21" s="211"/>
      <c r="AN21" s="211"/>
      <c r="AO21" s="211"/>
      <c r="AP21" s="211"/>
      <c r="AQ21" s="211"/>
      <c r="AR21" s="211"/>
      <c r="AS21" s="211"/>
      <c r="AT21" s="211"/>
      <c r="AU21" s="211"/>
      <c r="AV21" s="211"/>
      <c r="AW21" s="211"/>
      <c r="AX21" s="211"/>
      <c r="AY21" s="211"/>
      <c r="AZ21" s="211"/>
      <c r="BA21" s="211"/>
      <c r="BB21" s="212"/>
    </row>
    <row r="22" spans="2:54" ht="15.75" customHeight="1">
      <c r="B22" s="210"/>
      <c r="C22" s="211"/>
      <c r="D22" s="211"/>
      <c r="E22" s="211"/>
      <c r="F22" s="211"/>
      <c r="G22" s="211"/>
      <c r="H22" s="211"/>
      <c r="I22" s="211"/>
      <c r="J22" s="211"/>
      <c r="K22" s="211"/>
      <c r="L22" s="211"/>
      <c r="M22" s="211"/>
      <c r="N22" s="211"/>
      <c r="O22" s="211"/>
      <c r="P22" s="211"/>
      <c r="Q22" s="211"/>
      <c r="R22" s="211"/>
      <c r="S22" s="211"/>
      <c r="T22" s="211"/>
      <c r="U22" s="211"/>
      <c r="V22" s="211"/>
      <c r="W22" s="211"/>
      <c r="X22" s="211"/>
      <c r="Y22" s="211"/>
      <c r="Z22" s="211"/>
      <c r="AA22" s="211"/>
      <c r="AB22" s="211"/>
      <c r="AC22" s="211"/>
      <c r="AD22" s="211"/>
      <c r="AE22" s="211"/>
      <c r="AF22" s="211"/>
      <c r="AG22" s="211"/>
      <c r="AH22" s="211"/>
      <c r="AI22" s="211"/>
      <c r="AJ22" s="211"/>
      <c r="AK22" s="211"/>
      <c r="AL22" s="211"/>
      <c r="AM22" s="211"/>
      <c r="AN22" s="211"/>
      <c r="AO22" s="211"/>
      <c r="AP22" s="211"/>
      <c r="AQ22" s="211"/>
      <c r="AR22" s="211"/>
      <c r="AS22" s="211"/>
      <c r="AT22" s="211"/>
      <c r="AU22" s="211"/>
      <c r="AV22" s="211"/>
      <c r="AW22" s="211"/>
      <c r="AX22" s="211"/>
      <c r="AY22" s="211"/>
      <c r="AZ22" s="211"/>
      <c r="BA22" s="211"/>
      <c r="BB22" s="212"/>
    </row>
    <row r="23" spans="2:54" ht="18.75" customHeight="1">
      <c r="B23" s="210"/>
      <c r="C23" s="211"/>
      <c r="D23" s="211"/>
      <c r="E23" s="211"/>
      <c r="F23" s="211"/>
      <c r="G23" s="211"/>
      <c r="H23" s="211"/>
      <c r="I23" s="211"/>
      <c r="J23" s="211"/>
      <c r="K23" s="211"/>
      <c r="L23" s="211"/>
      <c r="M23" s="211"/>
      <c r="N23" s="211"/>
      <c r="O23" s="211"/>
      <c r="P23" s="211"/>
      <c r="Q23" s="211"/>
      <c r="R23" s="211"/>
      <c r="S23" s="211"/>
      <c r="T23" s="211"/>
      <c r="U23" s="211"/>
      <c r="V23" s="211"/>
      <c r="W23" s="211"/>
      <c r="X23" s="211"/>
      <c r="Y23" s="211"/>
      <c r="Z23" s="211"/>
      <c r="AA23" s="211"/>
      <c r="AB23" s="211"/>
      <c r="AC23" s="211"/>
      <c r="AD23" s="211"/>
      <c r="AE23" s="211"/>
      <c r="AF23" s="211"/>
      <c r="AG23" s="211"/>
      <c r="AH23" s="211"/>
      <c r="AI23" s="211"/>
      <c r="AJ23" s="211"/>
      <c r="AK23" s="211"/>
      <c r="AL23" s="211"/>
      <c r="AM23" s="211"/>
      <c r="AN23" s="211"/>
      <c r="AO23" s="211"/>
      <c r="AP23" s="211"/>
      <c r="AQ23" s="211"/>
      <c r="AR23" s="211"/>
      <c r="AS23" s="211"/>
      <c r="AT23" s="211"/>
      <c r="AU23" s="211"/>
      <c r="AV23" s="211"/>
      <c r="AW23" s="211"/>
      <c r="AX23" s="211"/>
      <c r="AY23" s="211"/>
      <c r="AZ23" s="211"/>
      <c r="BA23" s="211"/>
      <c r="BB23" s="212"/>
    </row>
    <row r="24" spans="2:54" ht="18.75" customHeight="1">
      <c r="B24" s="210"/>
      <c r="C24" s="211"/>
      <c r="D24" s="211"/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1"/>
      <c r="P24" s="211"/>
      <c r="Q24" s="211"/>
      <c r="R24" s="211"/>
      <c r="S24" s="211"/>
      <c r="T24" s="211"/>
      <c r="U24" s="211"/>
      <c r="V24" s="211"/>
      <c r="W24" s="211"/>
      <c r="X24" s="211"/>
      <c r="Y24" s="211"/>
      <c r="Z24" s="211"/>
      <c r="AA24" s="211"/>
      <c r="AB24" s="211"/>
      <c r="AC24" s="211"/>
      <c r="AD24" s="211"/>
      <c r="AE24" s="211"/>
      <c r="AF24" s="211"/>
      <c r="AG24" s="211"/>
      <c r="AH24" s="211"/>
      <c r="AI24" s="211"/>
      <c r="AJ24" s="211"/>
      <c r="AK24" s="211"/>
      <c r="AL24" s="211"/>
      <c r="AM24" s="211"/>
      <c r="AN24" s="211"/>
      <c r="AO24" s="211"/>
      <c r="AP24" s="211"/>
      <c r="AQ24" s="211"/>
      <c r="AR24" s="211"/>
      <c r="AS24" s="211"/>
      <c r="AT24" s="211"/>
      <c r="AU24" s="211"/>
      <c r="AV24" s="211"/>
      <c r="AW24" s="211"/>
      <c r="AX24" s="211"/>
      <c r="AY24" s="211"/>
      <c r="AZ24" s="211"/>
      <c r="BA24" s="211"/>
      <c r="BB24" s="212"/>
    </row>
    <row r="25" spans="2:54" ht="18.75" customHeight="1">
      <c r="B25" s="210"/>
      <c r="C25" s="211"/>
      <c r="D25" s="211"/>
      <c r="E25" s="211"/>
      <c r="F25" s="211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211"/>
      <c r="R25" s="211"/>
      <c r="S25" s="211"/>
      <c r="T25" s="211"/>
      <c r="U25" s="211"/>
      <c r="V25" s="211"/>
      <c r="W25" s="211"/>
      <c r="X25" s="211"/>
      <c r="Y25" s="211"/>
      <c r="Z25" s="211"/>
      <c r="AA25" s="211"/>
      <c r="AB25" s="211"/>
      <c r="AC25" s="211"/>
      <c r="AD25" s="211"/>
      <c r="AE25" s="211"/>
      <c r="AF25" s="211"/>
      <c r="AG25" s="211"/>
      <c r="AH25" s="211"/>
      <c r="AI25" s="211"/>
      <c r="AJ25" s="211"/>
      <c r="AK25" s="211"/>
      <c r="AL25" s="211"/>
      <c r="AM25" s="211"/>
      <c r="AN25" s="211"/>
      <c r="AO25" s="211"/>
      <c r="AP25" s="211"/>
      <c r="AQ25" s="211"/>
      <c r="AR25" s="211"/>
      <c r="AS25" s="211"/>
      <c r="AT25" s="211"/>
      <c r="AU25" s="211"/>
      <c r="AV25" s="211"/>
      <c r="AW25" s="211"/>
      <c r="AX25" s="211"/>
      <c r="AY25" s="211"/>
      <c r="AZ25" s="211"/>
      <c r="BA25" s="211"/>
      <c r="BB25" s="212"/>
    </row>
    <row r="26" spans="2:54" ht="18.75" customHeight="1">
      <c r="B26" s="210"/>
      <c r="C26" s="211"/>
      <c r="D26" s="211"/>
      <c r="E26" s="211"/>
      <c r="F26" s="211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211"/>
      <c r="R26" s="211"/>
      <c r="S26" s="211"/>
      <c r="T26" s="211"/>
      <c r="U26" s="211"/>
      <c r="V26" s="211"/>
      <c r="W26" s="211"/>
      <c r="X26" s="211"/>
      <c r="Y26" s="211"/>
      <c r="Z26" s="211"/>
      <c r="AA26" s="211"/>
      <c r="AB26" s="211"/>
      <c r="AC26" s="211"/>
      <c r="AD26" s="211"/>
      <c r="AE26" s="211"/>
      <c r="AF26" s="211"/>
      <c r="AG26" s="211"/>
      <c r="AH26" s="211"/>
      <c r="AI26" s="211"/>
      <c r="AJ26" s="211"/>
      <c r="AK26" s="211"/>
      <c r="AL26" s="211"/>
      <c r="AM26" s="211"/>
      <c r="AN26" s="211"/>
      <c r="AO26" s="211"/>
      <c r="AP26" s="211"/>
      <c r="AQ26" s="211"/>
      <c r="AR26" s="211"/>
      <c r="AS26" s="211"/>
      <c r="AT26" s="211"/>
      <c r="AU26" s="211"/>
      <c r="AV26" s="211"/>
      <c r="AW26" s="211"/>
      <c r="AX26" s="211"/>
      <c r="AY26" s="211"/>
      <c r="AZ26" s="211"/>
      <c r="BA26" s="211"/>
      <c r="BB26" s="212"/>
    </row>
    <row r="27" spans="2:54" ht="18.75" customHeight="1">
      <c r="B27" s="210"/>
      <c r="C27" s="211"/>
      <c r="D27" s="211"/>
      <c r="E27" s="211"/>
      <c r="F27" s="211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211"/>
      <c r="R27" s="211"/>
      <c r="S27" s="211"/>
      <c r="T27" s="211"/>
      <c r="U27" s="211"/>
      <c r="V27" s="211"/>
      <c r="W27" s="211"/>
      <c r="X27" s="211"/>
      <c r="Y27" s="211"/>
      <c r="Z27" s="211"/>
      <c r="AA27" s="211"/>
      <c r="AB27" s="211"/>
      <c r="AC27" s="211"/>
      <c r="AD27" s="211"/>
      <c r="AE27" s="211"/>
      <c r="AF27" s="211"/>
      <c r="AG27" s="211"/>
      <c r="AH27" s="211"/>
      <c r="AI27" s="211"/>
      <c r="AJ27" s="211"/>
      <c r="AK27" s="211"/>
      <c r="AL27" s="211"/>
      <c r="AM27" s="211"/>
      <c r="AN27" s="211"/>
      <c r="AO27" s="211"/>
      <c r="AP27" s="211"/>
      <c r="AQ27" s="211"/>
      <c r="AR27" s="211"/>
      <c r="AS27" s="211"/>
      <c r="AT27" s="211"/>
      <c r="AU27" s="211"/>
      <c r="AV27" s="211"/>
      <c r="AW27" s="211"/>
      <c r="AX27" s="211"/>
      <c r="AY27" s="211"/>
      <c r="AZ27" s="211"/>
      <c r="BA27" s="211"/>
      <c r="BB27" s="212"/>
    </row>
    <row r="28" spans="2:54" ht="18.75" customHeight="1">
      <c r="B28" s="210"/>
      <c r="C28" s="211"/>
      <c r="D28" s="211"/>
      <c r="E28" s="211"/>
      <c r="F28" s="211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211"/>
      <c r="R28" s="211"/>
      <c r="S28" s="211"/>
      <c r="T28" s="211"/>
      <c r="U28" s="211"/>
      <c r="V28" s="211"/>
      <c r="W28" s="211"/>
      <c r="X28" s="211"/>
      <c r="Y28" s="211"/>
      <c r="Z28" s="211"/>
      <c r="AA28" s="211"/>
      <c r="AB28" s="211"/>
      <c r="AC28" s="211"/>
      <c r="AD28" s="211"/>
      <c r="AE28" s="211"/>
      <c r="AF28" s="211"/>
      <c r="AG28" s="211"/>
      <c r="AH28" s="211"/>
      <c r="AI28" s="211"/>
      <c r="AJ28" s="211"/>
      <c r="AK28" s="211"/>
      <c r="AL28" s="211"/>
      <c r="AM28" s="211"/>
      <c r="AN28" s="211"/>
      <c r="AO28" s="211"/>
      <c r="AP28" s="211"/>
      <c r="AQ28" s="211"/>
      <c r="AR28" s="211"/>
      <c r="AS28" s="211"/>
      <c r="AT28" s="211"/>
      <c r="AU28" s="211"/>
      <c r="AV28" s="211"/>
      <c r="AW28" s="211"/>
      <c r="AX28" s="211"/>
      <c r="AY28" s="211"/>
      <c r="AZ28" s="211"/>
      <c r="BA28" s="211"/>
      <c r="BB28" s="212"/>
    </row>
    <row r="29" spans="2:54" ht="18.75" customHeight="1">
      <c r="B29" s="210"/>
      <c r="C29" s="211"/>
      <c r="D29" s="211"/>
      <c r="E29" s="211"/>
      <c r="F29" s="211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211"/>
      <c r="R29" s="211"/>
      <c r="S29" s="211"/>
      <c r="T29" s="211"/>
      <c r="U29" s="211"/>
      <c r="V29" s="211"/>
      <c r="W29" s="211"/>
      <c r="X29" s="211"/>
      <c r="Y29" s="211"/>
      <c r="Z29" s="211"/>
      <c r="AA29" s="211"/>
      <c r="AB29" s="211"/>
      <c r="AC29" s="211"/>
      <c r="AD29" s="211"/>
      <c r="AE29" s="211"/>
      <c r="AF29" s="211"/>
      <c r="AG29" s="211"/>
      <c r="AH29" s="211"/>
      <c r="AI29" s="211"/>
      <c r="AJ29" s="211"/>
      <c r="AK29" s="211"/>
      <c r="AL29" s="211"/>
      <c r="AM29" s="211"/>
      <c r="AN29" s="211"/>
      <c r="AO29" s="211"/>
      <c r="AP29" s="211"/>
      <c r="AQ29" s="211"/>
      <c r="AR29" s="211"/>
      <c r="AS29" s="211"/>
      <c r="AT29" s="211"/>
      <c r="AU29" s="211"/>
      <c r="AV29" s="211"/>
      <c r="AW29" s="211"/>
      <c r="AX29" s="211"/>
      <c r="AY29" s="211"/>
      <c r="AZ29" s="211"/>
      <c r="BA29" s="211"/>
      <c r="BB29" s="212"/>
    </row>
    <row r="30" spans="2:54" ht="18.75" customHeight="1">
      <c r="B30" s="210"/>
      <c r="C30" s="211"/>
      <c r="D30" s="211"/>
      <c r="E30" s="211"/>
      <c r="F30" s="211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211"/>
      <c r="R30" s="211"/>
      <c r="S30" s="211"/>
      <c r="T30" s="211"/>
      <c r="U30" s="211"/>
      <c r="V30" s="211"/>
      <c r="W30" s="211"/>
      <c r="X30" s="211"/>
      <c r="Y30" s="211"/>
      <c r="Z30" s="211"/>
      <c r="AA30" s="211"/>
      <c r="AB30" s="211"/>
      <c r="AC30" s="211"/>
      <c r="AD30" s="211"/>
      <c r="AE30" s="211"/>
      <c r="AF30" s="211"/>
      <c r="AG30" s="211"/>
      <c r="AH30" s="211"/>
      <c r="AI30" s="211"/>
      <c r="AJ30" s="211"/>
      <c r="AK30" s="211"/>
      <c r="AL30" s="211"/>
      <c r="AM30" s="211"/>
      <c r="AN30" s="211"/>
      <c r="AO30" s="211"/>
      <c r="AP30" s="211"/>
      <c r="AQ30" s="211"/>
      <c r="AR30" s="211"/>
      <c r="AS30" s="211"/>
      <c r="AT30" s="211"/>
      <c r="AU30" s="211"/>
      <c r="AV30" s="211"/>
      <c r="AW30" s="211"/>
      <c r="AX30" s="211"/>
      <c r="AY30" s="211"/>
      <c r="AZ30" s="211"/>
      <c r="BA30" s="211"/>
      <c r="BB30" s="212"/>
    </row>
    <row r="31" spans="2:54" ht="18.75" customHeight="1">
      <c r="B31" s="210"/>
      <c r="C31" s="211"/>
      <c r="D31" s="211"/>
      <c r="E31" s="211"/>
      <c r="F31" s="211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211"/>
      <c r="R31" s="211"/>
      <c r="S31" s="211"/>
      <c r="T31" s="211"/>
      <c r="U31" s="211"/>
      <c r="V31" s="211"/>
      <c r="W31" s="211"/>
      <c r="X31" s="211"/>
      <c r="Y31" s="211"/>
      <c r="Z31" s="211"/>
      <c r="AA31" s="211"/>
      <c r="AB31" s="211"/>
      <c r="AC31" s="211"/>
      <c r="AD31" s="211"/>
      <c r="AE31" s="211"/>
      <c r="AF31" s="211"/>
      <c r="AG31" s="211"/>
      <c r="AH31" s="211"/>
      <c r="AI31" s="211"/>
      <c r="AJ31" s="211"/>
      <c r="AK31" s="211"/>
      <c r="AL31" s="211"/>
      <c r="AM31" s="211"/>
      <c r="AN31" s="211"/>
      <c r="AO31" s="211"/>
      <c r="AP31" s="211"/>
      <c r="AQ31" s="211"/>
      <c r="AR31" s="211"/>
      <c r="AS31" s="211"/>
      <c r="AT31" s="211"/>
      <c r="AU31" s="211"/>
      <c r="AV31" s="211"/>
      <c r="AW31" s="211"/>
      <c r="AX31" s="211"/>
      <c r="AY31" s="211"/>
      <c r="AZ31" s="211"/>
      <c r="BA31" s="211"/>
      <c r="BB31" s="212"/>
    </row>
    <row r="32" spans="2:54" ht="18.75" customHeight="1">
      <c r="B32" s="210"/>
      <c r="C32" s="211"/>
      <c r="D32" s="211"/>
      <c r="E32" s="211"/>
      <c r="F32" s="211"/>
      <c r="G32" s="211"/>
      <c r="H32" s="211"/>
      <c r="I32" s="211"/>
      <c r="J32" s="211"/>
      <c r="K32" s="211"/>
      <c r="L32" s="211"/>
      <c r="M32" s="211"/>
      <c r="N32" s="211"/>
      <c r="O32" s="211"/>
      <c r="P32" s="211"/>
      <c r="Q32" s="211"/>
      <c r="R32" s="211"/>
      <c r="S32" s="211"/>
      <c r="T32" s="211"/>
      <c r="U32" s="211"/>
      <c r="V32" s="211"/>
      <c r="W32" s="211"/>
      <c r="X32" s="211"/>
      <c r="Y32" s="211"/>
      <c r="Z32" s="211"/>
      <c r="AA32" s="211"/>
      <c r="AB32" s="211"/>
      <c r="AC32" s="211"/>
      <c r="AD32" s="211"/>
      <c r="AE32" s="211"/>
      <c r="AF32" s="211"/>
      <c r="AG32" s="211"/>
      <c r="AH32" s="211"/>
      <c r="AI32" s="211"/>
      <c r="AJ32" s="211"/>
      <c r="AK32" s="211"/>
      <c r="AL32" s="211"/>
      <c r="AM32" s="211"/>
      <c r="AN32" s="211"/>
      <c r="AO32" s="211"/>
      <c r="AP32" s="211"/>
      <c r="AQ32" s="211"/>
      <c r="AR32" s="211"/>
      <c r="AS32" s="211"/>
      <c r="AT32" s="211"/>
      <c r="AU32" s="211"/>
      <c r="AV32" s="211"/>
      <c r="AW32" s="211"/>
      <c r="AX32" s="211"/>
      <c r="AY32" s="211"/>
      <c r="AZ32" s="211"/>
      <c r="BA32" s="211"/>
      <c r="BB32" s="212"/>
    </row>
    <row r="33" spans="2:54" ht="18.75" customHeight="1">
      <c r="B33" s="210"/>
      <c r="C33" s="211"/>
      <c r="D33" s="211"/>
      <c r="E33" s="211"/>
      <c r="F33" s="211"/>
      <c r="G33" s="211"/>
      <c r="H33" s="211"/>
      <c r="I33" s="211"/>
      <c r="J33" s="211"/>
      <c r="K33" s="211"/>
      <c r="L33" s="211"/>
      <c r="M33" s="211"/>
      <c r="N33" s="211"/>
      <c r="O33" s="211"/>
      <c r="P33" s="211"/>
      <c r="Q33" s="211"/>
      <c r="R33" s="211"/>
      <c r="S33" s="211"/>
      <c r="T33" s="211"/>
      <c r="U33" s="211"/>
      <c r="V33" s="211"/>
      <c r="W33" s="211"/>
      <c r="X33" s="211"/>
      <c r="Y33" s="211"/>
      <c r="Z33" s="211"/>
      <c r="AA33" s="211"/>
      <c r="AB33" s="211"/>
      <c r="AC33" s="211"/>
      <c r="AD33" s="211"/>
      <c r="AE33" s="211"/>
      <c r="AF33" s="211"/>
      <c r="AG33" s="211"/>
      <c r="AH33" s="211"/>
      <c r="AI33" s="211"/>
      <c r="AJ33" s="211"/>
      <c r="AK33" s="211"/>
      <c r="AL33" s="211"/>
      <c r="AM33" s="211"/>
      <c r="AN33" s="211"/>
      <c r="AO33" s="211"/>
      <c r="AP33" s="211"/>
      <c r="AQ33" s="211"/>
      <c r="AR33" s="211"/>
      <c r="AS33" s="211"/>
      <c r="AT33" s="211"/>
      <c r="AU33" s="211"/>
      <c r="AV33" s="211"/>
      <c r="AW33" s="211"/>
      <c r="AX33" s="211"/>
      <c r="AY33" s="211"/>
      <c r="AZ33" s="211"/>
      <c r="BA33" s="211"/>
      <c r="BB33" s="212"/>
    </row>
    <row r="34" spans="2:54" ht="18.75" customHeight="1">
      <c r="B34" s="210"/>
      <c r="C34" s="211"/>
      <c r="D34" s="211"/>
      <c r="E34" s="211"/>
      <c r="F34" s="211"/>
      <c r="G34" s="211"/>
      <c r="H34" s="211"/>
      <c r="I34" s="211"/>
      <c r="J34" s="211"/>
      <c r="K34" s="211"/>
      <c r="L34" s="211"/>
      <c r="M34" s="211"/>
      <c r="N34" s="211"/>
      <c r="O34" s="211"/>
      <c r="P34" s="211"/>
      <c r="Q34" s="211"/>
      <c r="R34" s="211"/>
      <c r="S34" s="211"/>
      <c r="T34" s="211"/>
      <c r="U34" s="211"/>
      <c r="V34" s="211"/>
      <c r="W34" s="211"/>
      <c r="X34" s="211"/>
      <c r="Y34" s="211"/>
      <c r="Z34" s="211"/>
      <c r="AA34" s="211"/>
      <c r="AB34" s="211"/>
      <c r="AC34" s="211"/>
      <c r="AD34" s="211"/>
      <c r="AE34" s="211"/>
      <c r="AF34" s="211"/>
      <c r="AG34" s="211"/>
      <c r="AH34" s="211"/>
      <c r="AI34" s="211"/>
      <c r="AJ34" s="211"/>
      <c r="AK34" s="211"/>
      <c r="AL34" s="211"/>
      <c r="AM34" s="211"/>
      <c r="AN34" s="211"/>
      <c r="AO34" s="211"/>
      <c r="AP34" s="211"/>
      <c r="AQ34" s="211"/>
      <c r="AR34" s="211"/>
      <c r="AS34" s="211"/>
      <c r="AT34" s="211"/>
      <c r="AU34" s="211"/>
      <c r="AV34" s="211"/>
      <c r="AW34" s="211"/>
      <c r="AX34" s="211"/>
      <c r="AY34" s="211"/>
      <c r="AZ34" s="211"/>
      <c r="BA34" s="211"/>
      <c r="BB34" s="212"/>
    </row>
    <row r="35" spans="2:54" ht="18.75" customHeight="1">
      <c r="B35" s="210"/>
      <c r="C35" s="211"/>
      <c r="D35" s="211"/>
      <c r="E35" s="211"/>
      <c r="F35" s="211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Y35" s="211"/>
      <c r="Z35" s="211"/>
      <c r="AA35" s="211"/>
      <c r="AB35" s="211"/>
      <c r="AC35" s="211"/>
      <c r="AD35" s="211"/>
      <c r="AE35" s="211"/>
      <c r="AF35" s="211"/>
      <c r="AG35" s="211"/>
      <c r="AH35" s="211"/>
      <c r="AI35" s="211"/>
      <c r="AJ35" s="211"/>
      <c r="AK35" s="211"/>
      <c r="AL35" s="211"/>
      <c r="AM35" s="211"/>
      <c r="AN35" s="211"/>
      <c r="AO35" s="211"/>
      <c r="AP35" s="211"/>
      <c r="AQ35" s="211"/>
      <c r="AR35" s="211"/>
      <c r="AS35" s="211"/>
      <c r="AT35" s="211"/>
      <c r="AU35" s="211"/>
      <c r="AV35" s="211"/>
      <c r="AW35" s="211"/>
      <c r="AX35" s="211"/>
      <c r="AY35" s="211"/>
      <c r="AZ35" s="211"/>
      <c r="BA35" s="211"/>
      <c r="BB35" s="212"/>
    </row>
    <row r="36" spans="2:54" ht="18.75" customHeight="1">
      <c r="B36" s="210"/>
      <c r="C36" s="211"/>
      <c r="D36" s="211"/>
      <c r="E36" s="211"/>
      <c r="F36" s="211"/>
      <c r="G36" s="211"/>
      <c r="H36" s="211"/>
      <c r="I36" s="211"/>
      <c r="J36" s="211"/>
      <c r="K36" s="211"/>
      <c r="L36" s="211"/>
      <c r="M36" s="211"/>
      <c r="N36" s="211"/>
      <c r="O36" s="211"/>
      <c r="P36" s="211"/>
      <c r="Q36" s="211"/>
      <c r="R36" s="211"/>
      <c r="S36" s="211"/>
      <c r="T36" s="211"/>
      <c r="U36" s="211"/>
      <c r="V36" s="211"/>
      <c r="W36" s="211"/>
      <c r="X36" s="211"/>
      <c r="Y36" s="211"/>
      <c r="Z36" s="211"/>
      <c r="AA36" s="211"/>
      <c r="AB36" s="211"/>
      <c r="AC36" s="211"/>
      <c r="AD36" s="211"/>
      <c r="AE36" s="211"/>
      <c r="AF36" s="211"/>
      <c r="AG36" s="211"/>
      <c r="AH36" s="211"/>
      <c r="AI36" s="211"/>
      <c r="AJ36" s="211"/>
      <c r="AK36" s="211"/>
      <c r="AL36" s="211"/>
      <c r="AM36" s="211"/>
      <c r="AN36" s="211"/>
      <c r="AO36" s="211"/>
      <c r="AP36" s="211"/>
      <c r="AQ36" s="211"/>
      <c r="AR36" s="211"/>
      <c r="AS36" s="211"/>
      <c r="AT36" s="211"/>
      <c r="AU36" s="211"/>
      <c r="AV36" s="211"/>
      <c r="AW36" s="211"/>
      <c r="AX36" s="211"/>
      <c r="AY36" s="211"/>
      <c r="AZ36" s="211"/>
      <c r="BA36" s="211"/>
      <c r="BB36" s="212"/>
    </row>
    <row r="37" spans="2:54" ht="18.75" customHeight="1">
      <c r="B37" s="210"/>
      <c r="C37" s="211"/>
      <c r="D37" s="211"/>
      <c r="E37" s="211"/>
      <c r="F37" s="211"/>
      <c r="G37" s="211"/>
      <c r="H37" s="211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Y37" s="211"/>
      <c r="Z37" s="211"/>
      <c r="AA37" s="211"/>
      <c r="AB37" s="211"/>
      <c r="AC37" s="211"/>
      <c r="AD37" s="211"/>
      <c r="AE37" s="211"/>
      <c r="AF37" s="211"/>
      <c r="AG37" s="211"/>
      <c r="AH37" s="211"/>
      <c r="AI37" s="211"/>
      <c r="AJ37" s="211"/>
      <c r="AK37" s="211"/>
      <c r="AL37" s="211"/>
      <c r="AM37" s="211"/>
      <c r="AN37" s="211"/>
      <c r="AO37" s="211"/>
      <c r="AP37" s="211"/>
      <c r="AQ37" s="211"/>
      <c r="AR37" s="211"/>
      <c r="AS37" s="211"/>
      <c r="AT37" s="211"/>
      <c r="AU37" s="211"/>
      <c r="AV37" s="211"/>
      <c r="AW37" s="211"/>
      <c r="AX37" s="211"/>
      <c r="AY37" s="211"/>
      <c r="AZ37" s="211"/>
      <c r="BA37" s="211"/>
      <c r="BB37" s="212"/>
    </row>
    <row r="38" spans="2:54" ht="18.75" customHeight="1">
      <c r="B38" s="210"/>
      <c r="C38" s="211"/>
      <c r="D38" s="211"/>
      <c r="E38" s="211"/>
      <c r="F38" s="211"/>
      <c r="G38" s="211"/>
      <c r="H38" s="211"/>
      <c r="I38" s="211"/>
      <c r="J38" s="211"/>
      <c r="K38" s="211"/>
      <c r="L38" s="211"/>
      <c r="M38" s="211"/>
      <c r="N38" s="211"/>
      <c r="O38" s="211"/>
      <c r="P38" s="211"/>
      <c r="Q38" s="211"/>
      <c r="R38" s="211"/>
      <c r="S38" s="211"/>
      <c r="T38" s="211"/>
      <c r="U38" s="211"/>
      <c r="V38" s="211"/>
      <c r="W38" s="211"/>
      <c r="X38" s="211"/>
      <c r="Y38" s="211"/>
      <c r="Z38" s="211"/>
      <c r="AA38" s="211"/>
      <c r="AB38" s="211"/>
      <c r="AC38" s="211"/>
      <c r="AD38" s="211"/>
      <c r="AE38" s="211"/>
      <c r="AF38" s="211"/>
      <c r="AG38" s="211"/>
      <c r="AH38" s="211"/>
      <c r="AI38" s="211"/>
      <c r="AJ38" s="211"/>
      <c r="AK38" s="211"/>
      <c r="AL38" s="211"/>
      <c r="AM38" s="211"/>
      <c r="AN38" s="211"/>
      <c r="AO38" s="211"/>
      <c r="AP38" s="211"/>
      <c r="AQ38" s="211"/>
      <c r="AR38" s="211"/>
      <c r="AS38" s="211"/>
      <c r="AT38" s="211"/>
      <c r="AU38" s="211"/>
      <c r="AV38" s="211"/>
      <c r="AW38" s="211"/>
      <c r="AX38" s="211"/>
      <c r="AY38" s="211"/>
      <c r="AZ38" s="211"/>
      <c r="BA38" s="211"/>
      <c r="BB38" s="212"/>
    </row>
    <row r="39" spans="2:54" ht="18.75" customHeight="1">
      <c r="B39" s="210"/>
      <c r="C39" s="211"/>
      <c r="D39" s="211"/>
      <c r="E39" s="211"/>
      <c r="F39" s="211"/>
      <c r="G39" s="211"/>
      <c r="H39" s="211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Y39" s="211"/>
      <c r="Z39" s="211"/>
      <c r="AA39" s="211"/>
      <c r="AB39" s="211"/>
      <c r="AC39" s="211"/>
      <c r="AD39" s="211"/>
      <c r="AE39" s="211"/>
      <c r="AF39" s="211"/>
      <c r="AG39" s="211"/>
      <c r="AH39" s="211"/>
      <c r="AI39" s="211"/>
      <c r="AJ39" s="211"/>
      <c r="AK39" s="211"/>
      <c r="AL39" s="211"/>
      <c r="AM39" s="211"/>
      <c r="AN39" s="211"/>
      <c r="AO39" s="211"/>
      <c r="AP39" s="211"/>
      <c r="AQ39" s="211"/>
      <c r="AR39" s="211"/>
      <c r="AS39" s="211"/>
      <c r="AT39" s="211"/>
      <c r="AU39" s="211"/>
      <c r="AV39" s="211"/>
      <c r="AW39" s="211"/>
      <c r="AX39" s="211"/>
      <c r="AY39" s="211"/>
      <c r="AZ39" s="211"/>
      <c r="BA39" s="211"/>
      <c r="BB39" s="212"/>
    </row>
    <row r="40" spans="2:54" ht="18.75" customHeight="1">
      <c r="B40" s="210"/>
      <c r="C40" s="211"/>
      <c r="D40" s="211"/>
      <c r="E40" s="211"/>
      <c r="F40" s="211"/>
      <c r="G40" s="211"/>
      <c r="H40" s="211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Y40" s="211"/>
      <c r="Z40" s="211"/>
      <c r="AA40" s="211"/>
      <c r="AB40" s="211"/>
      <c r="AC40" s="211"/>
      <c r="AD40" s="211"/>
      <c r="AE40" s="211"/>
      <c r="AF40" s="211"/>
      <c r="AG40" s="211"/>
      <c r="AH40" s="211"/>
      <c r="AI40" s="211"/>
      <c r="AJ40" s="211"/>
      <c r="AK40" s="211"/>
      <c r="AL40" s="211"/>
      <c r="AM40" s="211"/>
      <c r="AN40" s="211"/>
      <c r="AO40" s="211"/>
      <c r="AP40" s="211"/>
      <c r="AQ40" s="211"/>
      <c r="AR40" s="211"/>
      <c r="AS40" s="211"/>
      <c r="AT40" s="211"/>
      <c r="AU40" s="211"/>
      <c r="AV40" s="211"/>
      <c r="AW40" s="211"/>
      <c r="AX40" s="211"/>
      <c r="AY40" s="211"/>
      <c r="AZ40" s="211"/>
      <c r="BA40" s="211"/>
      <c r="BB40" s="212"/>
    </row>
    <row r="41" spans="2:54" ht="18.75" customHeight="1">
      <c r="B41" s="210"/>
      <c r="C41" s="211"/>
      <c r="D41" s="211"/>
      <c r="E41" s="211"/>
      <c r="F41" s="211"/>
      <c r="G41" s="211"/>
      <c r="H41" s="211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Y41" s="211"/>
      <c r="Z41" s="211"/>
      <c r="AA41" s="211"/>
      <c r="AB41" s="211"/>
      <c r="AC41" s="211"/>
      <c r="AD41" s="211"/>
      <c r="AE41" s="211"/>
      <c r="AF41" s="211"/>
      <c r="AG41" s="211"/>
      <c r="AH41" s="211"/>
      <c r="AI41" s="211"/>
      <c r="AJ41" s="211"/>
      <c r="AK41" s="211"/>
      <c r="AL41" s="211"/>
      <c r="AM41" s="211"/>
      <c r="AN41" s="211"/>
      <c r="AO41" s="211"/>
      <c r="AP41" s="211"/>
      <c r="AQ41" s="211"/>
      <c r="AR41" s="211"/>
      <c r="AS41" s="211"/>
      <c r="AT41" s="211"/>
      <c r="AU41" s="211"/>
      <c r="AV41" s="211"/>
      <c r="AW41" s="211"/>
      <c r="AX41" s="211"/>
      <c r="AY41" s="211"/>
      <c r="AZ41" s="211"/>
      <c r="BA41" s="211"/>
      <c r="BB41" s="212"/>
    </row>
    <row r="42" spans="2:54" ht="18.75" customHeight="1">
      <c r="B42" s="210"/>
      <c r="C42" s="211"/>
      <c r="D42" s="211"/>
      <c r="E42" s="211"/>
      <c r="F42" s="211"/>
      <c r="G42" s="211"/>
      <c r="H42" s="211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Y42" s="211"/>
      <c r="Z42" s="211"/>
      <c r="AA42" s="211"/>
      <c r="AB42" s="211"/>
      <c r="AC42" s="211"/>
      <c r="AD42" s="211"/>
      <c r="AE42" s="211"/>
      <c r="AF42" s="211"/>
      <c r="AG42" s="211"/>
      <c r="AH42" s="211"/>
      <c r="AI42" s="211"/>
      <c r="AJ42" s="211"/>
      <c r="AK42" s="211"/>
      <c r="AL42" s="211"/>
      <c r="AM42" s="211"/>
      <c r="AN42" s="211"/>
      <c r="AO42" s="211"/>
      <c r="AP42" s="211"/>
      <c r="AQ42" s="211"/>
      <c r="AR42" s="211"/>
      <c r="AS42" s="211"/>
      <c r="AT42" s="211"/>
      <c r="AU42" s="211"/>
      <c r="AV42" s="211"/>
      <c r="AW42" s="211"/>
      <c r="AX42" s="211"/>
      <c r="AY42" s="211"/>
      <c r="AZ42" s="211"/>
      <c r="BA42" s="211"/>
      <c r="BB42" s="212"/>
    </row>
    <row r="43" spans="2:54" ht="18.75" customHeight="1">
      <c r="B43" s="210"/>
      <c r="C43" s="211"/>
      <c r="D43" s="211"/>
      <c r="E43" s="211"/>
      <c r="F43" s="211"/>
      <c r="G43" s="211"/>
      <c r="H43" s="211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Y43" s="211"/>
      <c r="Z43" s="211"/>
      <c r="AA43" s="211"/>
      <c r="AB43" s="211"/>
      <c r="AC43" s="211"/>
      <c r="AD43" s="211"/>
      <c r="AE43" s="211"/>
      <c r="AF43" s="211"/>
      <c r="AG43" s="211"/>
      <c r="AH43" s="211"/>
      <c r="AI43" s="211"/>
      <c r="AJ43" s="211"/>
      <c r="AK43" s="211"/>
      <c r="AL43" s="211"/>
      <c r="AM43" s="211"/>
      <c r="AN43" s="211"/>
      <c r="AO43" s="211"/>
      <c r="AP43" s="211"/>
      <c r="AQ43" s="211"/>
      <c r="AR43" s="211"/>
      <c r="AS43" s="211"/>
      <c r="AT43" s="211"/>
      <c r="AU43" s="211"/>
      <c r="AV43" s="211"/>
      <c r="AW43" s="211"/>
      <c r="AX43" s="211"/>
      <c r="AY43" s="211"/>
      <c r="AZ43" s="211"/>
      <c r="BA43" s="211"/>
      <c r="BB43" s="212"/>
    </row>
    <row r="44" spans="2:54" ht="18.75" customHeight="1">
      <c r="B44" s="210"/>
      <c r="C44" s="211"/>
      <c r="D44" s="211"/>
      <c r="E44" s="211"/>
      <c r="F44" s="211"/>
      <c r="G44" s="211"/>
      <c r="H44" s="211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Y44" s="211"/>
      <c r="Z44" s="211"/>
      <c r="AA44" s="211"/>
      <c r="AB44" s="211"/>
      <c r="AC44" s="211"/>
      <c r="AD44" s="211"/>
      <c r="AE44" s="211"/>
      <c r="AF44" s="211"/>
      <c r="AG44" s="211"/>
      <c r="AH44" s="211"/>
      <c r="AI44" s="211"/>
      <c r="AJ44" s="211"/>
      <c r="AK44" s="211"/>
      <c r="AL44" s="211"/>
      <c r="AM44" s="211"/>
      <c r="AN44" s="211"/>
      <c r="AO44" s="211"/>
      <c r="AP44" s="211"/>
      <c r="AQ44" s="211"/>
      <c r="AR44" s="211"/>
      <c r="AS44" s="211"/>
      <c r="AT44" s="211"/>
      <c r="AU44" s="211"/>
      <c r="AV44" s="211"/>
      <c r="AW44" s="211"/>
      <c r="AX44" s="211"/>
      <c r="AY44" s="211"/>
      <c r="AZ44" s="211"/>
      <c r="BA44" s="211"/>
      <c r="BB44" s="212"/>
    </row>
    <row r="45" spans="2:54" ht="18.75" customHeight="1">
      <c r="B45" s="210"/>
      <c r="C45" s="211"/>
      <c r="D45" s="211"/>
      <c r="E45" s="211"/>
      <c r="F45" s="211"/>
      <c r="G45" s="211"/>
      <c r="H45" s="211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Y45" s="211"/>
      <c r="Z45" s="211"/>
      <c r="AA45" s="211"/>
      <c r="AB45" s="211"/>
      <c r="AC45" s="211"/>
      <c r="AD45" s="211"/>
      <c r="AE45" s="211"/>
      <c r="AF45" s="211"/>
      <c r="AG45" s="211"/>
      <c r="AH45" s="211"/>
      <c r="AI45" s="211"/>
      <c r="AJ45" s="211"/>
      <c r="AK45" s="211"/>
      <c r="AL45" s="211"/>
      <c r="AM45" s="211"/>
      <c r="AN45" s="211"/>
      <c r="AO45" s="211"/>
      <c r="AP45" s="211"/>
      <c r="AQ45" s="211"/>
      <c r="AR45" s="211"/>
      <c r="AS45" s="211"/>
      <c r="AT45" s="211"/>
      <c r="AU45" s="211"/>
      <c r="AV45" s="211"/>
      <c r="AW45" s="211"/>
      <c r="AX45" s="211"/>
      <c r="AY45" s="211"/>
      <c r="AZ45" s="211"/>
      <c r="BA45" s="211"/>
      <c r="BB45" s="212"/>
    </row>
    <row r="46" spans="2:54" ht="18.75" customHeight="1">
      <c r="B46" s="210"/>
      <c r="C46" s="211"/>
      <c r="D46" s="211"/>
      <c r="E46" s="211"/>
      <c r="F46" s="211"/>
      <c r="G46" s="211"/>
      <c r="H46" s="211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Y46" s="211"/>
      <c r="Z46" s="211"/>
      <c r="AA46" s="211"/>
      <c r="AB46" s="211"/>
      <c r="AC46" s="211"/>
      <c r="AD46" s="211"/>
      <c r="AE46" s="211"/>
      <c r="AF46" s="211"/>
      <c r="AG46" s="211"/>
      <c r="AH46" s="211"/>
      <c r="AI46" s="211"/>
      <c r="AJ46" s="211"/>
      <c r="AK46" s="211"/>
      <c r="AL46" s="211"/>
      <c r="AM46" s="211"/>
      <c r="AN46" s="211"/>
      <c r="AO46" s="211"/>
      <c r="AP46" s="211"/>
      <c r="AQ46" s="211"/>
      <c r="AR46" s="211"/>
      <c r="AS46" s="211"/>
      <c r="AT46" s="211"/>
      <c r="AU46" s="211"/>
      <c r="AV46" s="211"/>
      <c r="AW46" s="211"/>
      <c r="AX46" s="211"/>
      <c r="AY46" s="211"/>
      <c r="AZ46" s="211"/>
      <c r="BA46" s="211"/>
      <c r="BB46" s="212"/>
    </row>
    <row r="47" spans="2:54" ht="18.75" customHeight="1">
      <c r="B47" s="210"/>
      <c r="C47" s="211"/>
      <c r="D47" s="211"/>
      <c r="E47" s="211"/>
      <c r="F47" s="211"/>
      <c r="G47" s="211"/>
      <c r="H47" s="211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Y47" s="211"/>
      <c r="Z47" s="211"/>
      <c r="AA47" s="211"/>
      <c r="AB47" s="211"/>
      <c r="AC47" s="211"/>
      <c r="AD47" s="211"/>
      <c r="AE47" s="211"/>
      <c r="AF47" s="211"/>
      <c r="AG47" s="211"/>
      <c r="AH47" s="211"/>
      <c r="AI47" s="211"/>
      <c r="AJ47" s="211"/>
      <c r="AK47" s="211"/>
      <c r="AL47" s="211"/>
      <c r="AM47" s="211"/>
      <c r="AN47" s="211"/>
      <c r="AO47" s="211"/>
      <c r="AP47" s="211"/>
      <c r="AQ47" s="211"/>
      <c r="AR47" s="211"/>
      <c r="AS47" s="211"/>
      <c r="AT47" s="211"/>
      <c r="AU47" s="211"/>
      <c r="AV47" s="211"/>
      <c r="AW47" s="211"/>
      <c r="AX47" s="211"/>
      <c r="AY47" s="211"/>
      <c r="AZ47" s="211"/>
      <c r="BA47" s="211"/>
      <c r="BB47" s="212"/>
    </row>
    <row r="48" spans="2:54" ht="18.75" customHeight="1">
      <c r="B48" s="210"/>
      <c r="C48" s="211"/>
      <c r="D48" s="211"/>
      <c r="E48" s="211"/>
      <c r="F48" s="211"/>
      <c r="G48" s="211"/>
      <c r="H48" s="211"/>
      <c r="I48" s="211"/>
      <c r="J48" s="211"/>
      <c r="K48" s="211"/>
      <c r="L48" s="211"/>
      <c r="M48" s="211"/>
      <c r="N48" s="211"/>
      <c r="O48" s="211"/>
      <c r="P48" s="211"/>
      <c r="Q48" s="211"/>
      <c r="R48" s="211"/>
      <c r="S48" s="211"/>
      <c r="T48" s="211"/>
      <c r="U48" s="211"/>
      <c r="V48" s="211"/>
      <c r="W48" s="211"/>
      <c r="X48" s="211"/>
      <c r="Y48" s="211"/>
      <c r="Z48" s="211"/>
      <c r="AA48" s="211"/>
      <c r="AB48" s="211"/>
      <c r="AC48" s="211"/>
      <c r="AD48" s="211"/>
      <c r="AE48" s="211"/>
      <c r="AF48" s="211"/>
      <c r="AG48" s="211"/>
      <c r="AH48" s="211"/>
      <c r="AI48" s="211"/>
      <c r="AJ48" s="211"/>
      <c r="AK48" s="211"/>
      <c r="AL48" s="211"/>
      <c r="AM48" s="211"/>
      <c r="AN48" s="211"/>
      <c r="AO48" s="211"/>
      <c r="AP48" s="211"/>
      <c r="AQ48" s="211"/>
      <c r="AR48" s="211"/>
      <c r="AS48" s="211"/>
      <c r="AT48" s="211"/>
      <c r="AU48" s="211"/>
      <c r="AV48" s="211"/>
      <c r="AW48" s="211"/>
      <c r="AX48" s="211"/>
      <c r="AY48" s="211"/>
      <c r="AZ48" s="211"/>
      <c r="BA48" s="211"/>
      <c r="BB48" s="212"/>
    </row>
    <row r="49" spans="2:54" ht="18.75" customHeight="1" thickBot="1">
      <c r="B49" s="213"/>
      <c r="C49" s="214"/>
      <c r="D49" s="214"/>
      <c r="E49" s="214"/>
      <c r="F49" s="214"/>
      <c r="G49" s="214"/>
      <c r="H49" s="214"/>
      <c r="I49" s="214"/>
      <c r="J49" s="214"/>
      <c r="K49" s="214"/>
      <c r="L49" s="214"/>
      <c r="M49" s="214"/>
      <c r="N49" s="214"/>
      <c r="O49" s="214"/>
      <c r="P49" s="214"/>
      <c r="Q49" s="214"/>
      <c r="R49" s="214"/>
      <c r="S49" s="214"/>
      <c r="T49" s="214"/>
      <c r="U49" s="214"/>
      <c r="V49" s="214"/>
      <c r="W49" s="214"/>
      <c r="X49" s="214"/>
      <c r="Y49" s="214"/>
      <c r="Z49" s="214"/>
      <c r="AA49" s="214"/>
      <c r="AB49" s="214"/>
      <c r="AC49" s="214"/>
      <c r="AD49" s="214"/>
      <c r="AE49" s="214"/>
      <c r="AF49" s="214"/>
      <c r="AG49" s="214"/>
      <c r="AH49" s="214"/>
      <c r="AI49" s="214"/>
      <c r="AJ49" s="214"/>
      <c r="AK49" s="214"/>
      <c r="AL49" s="214"/>
      <c r="AM49" s="214"/>
      <c r="AN49" s="214"/>
      <c r="AO49" s="214"/>
      <c r="AP49" s="214"/>
      <c r="AQ49" s="214"/>
      <c r="AR49" s="214"/>
      <c r="AS49" s="214"/>
      <c r="AT49" s="214"/>
      <c r="AU49" s="214"/>
      <c r="AV49" s="214"/>
      <c r="AW49" s="214"/>
      <c r="AX49" s="214"/>
      <c r="AY49" s="214"/>
      <c r="AZ49" s="214"/>
      <c r="BA49" s="214"/>
      <c r="BB49" s="215"/>
    </row>
    <row r="50" spans="2:54" ht="7.9" customHeight="1"/>
    <row r="51" spans="2:54" ht="7.9" customHeight="1" thickBot="1"/>
    <row r="52" spans="2:54" ht="16.5" thickBot="1">
      <c r="B52" s="53" t="s">
        <v>16</v>
      </c>
      <c r="C52" s="57" t="s">
        <v>17</v>
      </c>
      <c r="D52" s="54"/>
      <c r="E52" s="54"/>
      <c r="F52" s="54"/>
      <c r="G52" s="54"/>
      <c r="H52" s="58"/>
      <c r="I52" s="57" t="s">
        <v>18</v>
      </c>
      <c r="J52" s="54"/>
      <c r="K52" s="54"/>
      <c r="L52" s="58"/>
      <c r="M52" s="129" t="s">
        <v>19</v>
      </c>
      <c r="N52" s="130"/>
      <c r="O52" s="129" t="s">
        <v>20</v>
      </c>
      <c r="P52" s="130"/>
      <c r="Q52" s="54" t="s">
        <v>21</v>
      </c>
      <c r="R52" s="54"/>
      <c r="S52" s="54"/>
      <c r="T52" s="54"/>
      <c r="U52" s="54"/>
      <c r="V52" s="54"/>
      <c r="W52" s="58"/>
      <c r="X52" s="57" t="s">
        <v>22</v>
      </c>
      <c r="Y52" s="54"/>
      <c r="Z52" s="54"/>
      <c r="AA52" s="54"/>
      <c r="AB52" s="54"/>
      <c r="AC52" s="54"/>
      <c r="AD52" s="58"/>
      <c r="AE52" s="57" t="s">
        <v>34</v>
      </c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7" t="s">
        <v>139</v>
      </c>
      <c r="AW52" s="54"/>
      <c r="AX52" s="54"/>
      <c r="AY52" s="54"/>
      <c r="AZ52" s="54"/>
      <c r="BA52" s="54"/>
      <c r="BB52" s="56"/>
    </row>
    <row r="53" spans="2:54" s="87" customFormat="1">
      <c r="B53" s="86">
        <f t="shared" ref="B53" si="0">ROW()-53</f>
        <v>0</v>
      </c>
      <c r="C53" s="77" t="s">
        <v>114</v>
      </c>
      <c r="D53" s="78"/>
      <c r="E53" s="78"/>
      <c r="F53" s="78"/>
      <c r="G53" s="78"/>
      <c r="H53" s="83"/>
      <c r="I53" s="82" t="s">
        <v>27</v>
      </c>
      <c r="J53" s="78"/>
      <c r="K53" s="78"/>
      <c r="L53" s="83"/>
      <c r="M53" s="205" t="s">
        <v>28</v>
      </c>
      <c r="N53" s="206"/>
      <c r="O53" s="205" t="s">
        <v>28</v>
      </c>
      <c r="P53" s="206"/>
      <c r="Q53" s="78"/>
      <c r="R53" s="78"/>
      <c r="S53" s="78"/>
      <c r="T53" s="78"/>
      <c r="U53" s="78"/>
      <c r="V53" s="78"/>
      <c r="W53" s="83"/>
      <c r="X53" s="82"/>
      <c r="Y53" s="78"/>
      <c r="Z53" s="78"/>
      <c r="AA53" s="78"/>
      <c r="AB53" s="78"/>
      <c r="AC53" s="78"/>
      <c r="AD53" s="83"/>
      <c r="AE53" s="82" t="s">
        <v>59</v>
      </c>
      <c r="AF53" s="78"/>
      <c r="AG53" s="78"/>
      <c r="AH53" s="78"/>
      <c r="AI53" s="78"/>
      <c r="AJ53" s="88"/>
      <c r="AK53" s="88"/>
      <c r="AL53" s="88"/>
      <c r="AM53" s="88"/>
      <c r="AN53" s="88"/>
      <c r="AO53" s="88"/>
      <c r="AP53" s="88"/>
      <c r="AQ53" s="88"/>
      <c r="AR53" s="88"/>
      <c r="AS53" s="88"/>
      <c r="AT53" s="88"/>
      <c r="AU53" s="88"/>
      <c r="AV53" s="68" t="s">
        <v>146</v>
      </c>
      <c r="AW53" s="46"/>
      <c r="AX53" s="46"/>
      <c r="AY53" s="46"/>
      <c r="AZ53" s="46"/>
      <c r="BA53" s="46"/>
      <c r="BB53" s="47"/>
    </row>
    <row r="54" spans="2:54" s="87" customFormat="1" ht="16.5" thickBot="1">
      <c r="B54" s="74">
        <f t="shared" ref="B54" si="1">ROW()-53</f>
        <v>1</v>
      </c>
      <c r="C54" s="94" t="s">
        <v>115</v>
      </c>
      <c r="D54" s="95"/>
      <c r="E54" s="95"/>
      <c r="F54" s="95"/>
      <c r="G54" s="95"/>
      <c r="H54" s="96"/>
      <c r="I54" s="94" t="s">
        <v>27</v>
      </c>
      <c r="J54" s="95"/>
      <c r="K54" s="95"/>
      <c r="L54" s="96"/>
      <c r="M54" s="202" t="s">
        <v>28</v>
      </c>
      <c r="N54" s="203"/>
      <c r="O54" s="202" t="s">
        <v>28</v>
      </c>
      <c r="P54" s="203"/>
      <c r="Q54" s="95"/>
      <c r="R54" s="95"/>
      <c r="S54" s="95"/>
      <c r="T54" s="95"/>
      <c r="U54" s="95"/>
      <c r="V54" s="95"/>
      <c r="W54" s="96"/>
      <c r="X54" s="94"/>
      <c r="Y54" s="95"/>
      <c r="Z54" s="95"/>
      <c r="AA54" s="95"/>
      <c r="AB54" s="95"/>
      <c r="AC54" s="95"/>
      <c r="AD54" s="96"/>
      <c r="AE54" s="94" t="s">
        <v>61</v>
      </c>
      <c r="AF54" s="65"/>
      <c r="AG54" s="65"/>
      <c r="AH54" s="65"/>
      <c r="AI54" s="65"/>
      <c r="AJ54" s="65"/>
      <c r="AK54" s="65"/>
      <c r="AL54" s="65"/>
      <c r="AM54" s="65"/>
      <c r="AN54" s="65"/>
      <c r="AO54" s="65"/>
      <c r="AP54" s="65"/>
      <c r="AQ54" s="65"/>
      <c r="AR54" s="65"/>
      <c r="AS54" s="65"/>
      <c r="AT54" s="65"/>
      <c r="AU54" s="65"/>
      <c r="AV54" s="260" t="s">
        <v>146</v>
      </c>
      <c r="AW54" s="235"/>
      <c r="AX54" s="235"/>
      <c r="AY54" s="235"/>
      <c r="AZ54" s="235"/>
      <c r="BA54" s="235"/>
      <c r="BB54" s="236"/>
    </row>
    <row r="55" spans="2:54" ht="7.9" customHeight="1"/>
  </sheetData>
  <mergeCells count="33">
    <mergeCell ref="B6:BB49"/>
    <mergeCell ref="M53:N53"/>
    <mergeCell ref="O53:P53"/>
    <mergeCell ref="O54:P54"/>
    <mergeCell ref="M54:N54"/>
    <mergeCell ref="M52:N52"/>
    <mergeCell ref="O52:P52"/>
    <mergeCell ref="AV54:BB54"/>
    <mergeCell ref="AL4:AU4"/>
    <mergeCell ref="AV4:AX4"/>
    <mergeCell ref="AY4:BA4"/>
    <mergeCell ref="C4:E4"/>
    <mergeCell ref="F4:G4"/>
    <mergeCell ref="H4:S4"/>
    <mergeCell ref="T4:U4"/>
    <mergeCell ref="V4:AE4"/>
    <mergeCell ref="AI4:AJ4"/>
    <mergeCell ref="AP2:AS2"/>
    <mergeCell ref="AT2:AX2"/>
    <mergeCell ref="AY2:BB2"/>
    <mergeCell ref="M3:Q3"/>
    <mergeCell ref="S3:W3"/>
    <mergeCell ref="Y3:AC3"/>
    <mergeCell ref="AL3:AO3"/>
    <mergeCell ref="AP3:AS3"/>
    <mergeCell ref="AT3:AX3"/>
    <mergeCell ref="AY3:BB3"/>
    <mergeCell ref="AL2:AO2"/>
    <mergeCell ref="B2:K3"/>
    <mergeCell ref="L2:Q2"/>
    <mergeCell ref="R2:W2"/>
    <mergeCell ref="X2:AC2"/>
    <mergeCell ref="AD2:AK3"/>
  </mergeCells>
  <phoneticPr fontId="3"/>
  <pageMargins left="0.35433070866141736" right="0.39370078740157483" top="0.78740157480314965" bottom="0.39370078740157483" header="0.39370078740157483" footer="0.39370078740157483"/>
  <pageSetup paperSize="9" scale="63" fitToHeight="0" orientation="landscape" r:id="rId1"/>
  <headerFooter alignWithMargins="0">
    <oddHeader>&amp;R&amp;G</oddHeader>
    <oddFooter>&amp;C&amp;8&amp;P&amp;R&amp;9©2021 SUS Co., Ltd. All right reserved</oddFooter>
  </headerFooter>
  <rowBreaks count="1" manualBreakCount="1">
    <brk id="50" max="54" man="1"/>
  </rowBreaks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96F07-416C-4A51-8169-BD9AAD9C0C71}">
  <sheetPr>
    <pageSetUpPr fitToPage="1"/>
  </sheetPr>
  <dimension ref="A1:BC55"/>
  <sheetViews>
    <sheetView showGridLines="0" tabSelected="1" topLeftCell="A38" zoomScale="155" zoomScaleNormal="70" zoomScaleSheetLayoutView="85" workbookViewId="0">
      <selection activeCell="U50" sqref="U50"/>
    </sheetView>
  </sheetViews>
  <sheetFormatPr defaultColWidth="3.75" defaultRowHeight="15.75"/>
  <cols>
    <col min="1" max="1" width="0.875" style="44" customWidth="1"/>
    <col min="2" max="2" width="4" style="44" customWidth="1"/>
    <col min="3" max="54" width="3.75" style="44"/>
    <col min="55" max="55" width="0.875" style="44" customWidth="1"/>
    <col min="56" max="16384" width="3.75" style="44"/>
  </cols>
  <sheetData>
    <row r="1" spans="1:55" s="38" customFormat="1" ht="6.75" customHeight="1" thickBot="1">
      <c r="A1" s="35"/>
      <c r="B1" s="36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</row>
    <row r="2" spans="1:55" s="38" customFormat="1" ht="20.25" customHeight="1" thickTop="1">
      <c r="A2" s="37"/>
      <c r="B2" s="97" t="str">
        <f>改版履歴!B2</f>
        <v>楽曲検索システム</v>
      </c>
      <c r="C2" s="98"/>
      <c r="D2" s="98"/>
      <c r="E2" s="98"/>
      <c r="F2" s="98"/>
      <c r="G2" s="98"/>
      <c r="H2" s="98"/>
      <c r="I2" s="98"/>
      <c r="J2" s="98"/>
      <c r="K2" s="99"/>
      <c r="L2" s="103" t="str">
        <f>改版履歴!L2</f>
        <v>システム</v>
      </c>
      <c r="M2" s="104"/>
      <c r="N2" s="104"/>
      <c r="O2" s="104"/>
      <c r="P2" s="104"/>
      <c r="Q2" s="104"/>
      <c r="R2" s="104" t="str">
        <f>改版履歴!R2</f>
        <v>サブシステム</v>
      </c>
      <c r="S2" s="104"/>
      <c r="T2" s="104"/>
      <c r="U2" s="104"/>
      <c r="V2" s="104"/>
      <c r="W2" s="104"/>
      <c r="X2" s="104" t="str">
        <f>改版履歴!X2</f>
        <v>プログラム</v>
      </c>
      <c r="Y2" s="104"/>
      <c r="Z2" s="104"/>
      <c r="AA2" s="104"/>
      <c r="AB2" s="104"/>
      <c r="AC2" s="104"/>
      <c r="AD2" s="105" t="str">
        <f ca="1">MID(CELL("filename",$A$1),FIND("]",CELL("filename",$A$1))+1,31)</f>
        <v>⑥削除確認ダイアログ</v>
      </c>
      <c r="AE2" s="106"/>
      <c r="AF2" s="106"/>
      <c r="AG2" s="106"/>
      <c r="AH2" s="106"/>
      <c r="AI2" s="106"/>
      <c r="AJ2" s="106"/>
      <c r="AK2" s="107"/>
      <c r="AL2" s="111" t="s">
        <v>4</v>
      </c>
      <c r="AM2" s="112"/>
      <c r="AN2" s="112"/>
      <c r="AO2" s="113"/>
      <c r="AP2" s="111" t="s">
        <v>5</v>
      </c>
      <c r="AQ2" s="112"/>
      <c r="AR2" s="112"/>
      <c r="AS2" s="113"/>
      <c r="AT2" s="114" t="s">
        <v>6</v>
      </c>
      <c r="AU2" s="115"/>
      <c r="AV2" s="115"/>
      <c r="AW2" s="115"/>
      <c r="AX2" s="116"/>
      <c r="AY2" s="117" t="s">
        <v>7</v>
      </c>
      <c r="AZ2" s="118"/>
      <c r="BA2" s="118"/>
      <c r="BB2" s="119"/>
      <c r="BC2" s="37"/>
    </row>
    <row r="3" spans="1:55" s="38" customFormat="1" ht="20.25" customHeight="1" thickBot="1">
      <c r="A3" s="37"/>
      <c r="B3" s="100"/>
      <c r="C3" s="101"/>
      <c r="D3" s="101"/>
      <c r="E3" s="101"/>
      <c r="F3" s="101"/>
      <c r="G3" s="101"/>
      <c r="H3" s="101"/>
      <c r="I3" s="101"/>
      <c r="J3" s="101"/>
      <c r="K3" s="102"/>
      <c r="L3" s="39" t="s">
        <v>8</v>
      </c>
      <c r="M3" s="120" t="str">
        <f>IF(改版履歴!M3=0,"",改版履歴!M3)</f>
        <v/>
      </c>
      <c r="N3" s="121"/>
      <c r="O3" s="121"/>
      <c r="P3" s="121"/>
      <c r="Q3" s="122"/>
      <c r="R3" s="40" t="s">
        <v>8</v>
      </c>
      <c r="S3" s="120" t="str">
        <f>IF(改版履歴!S3=0,"",改版履歴!S3)</f>
        <v/>
      </c>
      <c r="T3" s="121"/>
      <c r="U3" s="121"/>
      <c r="V3" s="121"/>
      <c r="W3" s="122"/>
      <c r="X3" s="40" t="s">
        <v>8</v>
      </c>
      <c r="Y3" s="120" t="str">
        <f>IF(改版履歴!Y3=0,"",改版履歴!Y3)</f>
        <v/>
      </c>
      <c r="Z3" s="121"/>
      <c r="AA3" s="121"/>
      <c r="AB3" s="121"/>
      <c r="AC3" s="122"/>
      <c r="AD3" s="108"/>
      <c r="AE3" s="109"/>
      <c r="AF3" s="109"/>
      <c r="AG3" s="109"/>
      <c r="AH3" s="109"/>
      <c r="AI3" s="109"/>
      <c r="AJ3" s="109"/>
      <c r="AK3" s="110"/>
      <c r="AL3" s="123">
        <f>改版履歴!AL3</f>
        <v>46139</v>
      </c>
      <c r="AM3" s="124"/>
      <c r="AN3" s="124"/>
      <c r="AO3" s="125"/>
      <c r="AP3" s="123">
        <f>改版履歴!AP3</f>
        <v>46177</v>
      </c>
      <c r="AQ3" s="124"/>
      <c r="AR3" s="124"/>
      <c r="AS3" s="125"/>
      <c r="AT3" s="126" t="str">
        <f>改版履歴!AT3</f>
        <v>野村　翼</v>
      </c>
      <c r="AU3" s="127"/>
      <c r="AV3" s="127"/>
      <c r="AW3" s="127"/>
      <c r="AX3" s="128"/>
      <c r="AY3" s="111" t="str">
        <f>改版履歴!AY3</f>
        <v>第1.6版</v>
      </c>
      <c r="AZ3" s="112"/>
      <c r="BA3" s="112"/>
      <c r="BB3" s="113"/>
      <c r="BC3" s="37"/>
    </row>
    <row r="4" spans="1:55" s="38" customFormat="1" ht="6.75" customHeight="1" thickTop="1" thickBot="1">
      <c r="A4" s="41"/>
      <c r="B4" s="41"/>
      <c r="C4" s="131"/>
      <c r="D4" s="131"/>
      <c r="E4" s="131"/>
      <c r="F4" s="131"/>
      <c r="G4" s="131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42"/>
      <c r="AG4" s="42"/>
      <c r="AH4" s="42"/>
      <c r="AI4" s="133"/>
      <c r="AJ4" s="133"/>
      <c r="AK4" s="42"/>
      <c r="AL4" s="133"/>
      <c r="AM4" s="133"/>
      <c r="AN4" s="133"/>
      <c r="AO4" s="133"/>
      <c r="AP4" s="133"/>
      <c r="AQ4" s="133"/>
      <c r="AR4" s="133"/>
      <c r="AS4" s="133"/>
      <c r="AT4" s="133"/>
      <c r="AU4" s="133"/>
      <c r="AV4" s="133"/>
      <c r="AW4" s="133"/>
      <c r="AX4" s="133"/>
      <c r="AY4" s="133"/>
      <c r="AZ4" s="133"/>
      <c r="BA4" s="133"/>
      <c r="BB4" s="42"/>
      <c r="BC4" s="41"/>
    </row>
    <row r="5" spans="1:55" s="43" customFormat="1" ht="16.5" thickBot="1">
      <c r="B5" s="53" t="s">
        <v>15</v>
      </c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5"/>
      <c r="AF5" s="55"/>
      <c r="AG5" s="55"/>
      <c r="AH5" s="55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6"/>
    </row>
    <row r="6" spans="1:55" ht="30.75" customHeight="1">
      <c r="B6" s="207"/>
      <c r="C6" s="208"/>
      <c r="D6" s="208"/>
      <c r="E6" s="208"/>
      <c r="F6" s="208"/>
      <c r="G6" s="208"/>
      <c r="H6" s="208"/>
      <c r="I6" s="208"/>
      <c r="J6" s="208"/>
      <c r="K6" s="208"/>
      <c r="L6" s="208"/>
      <c r="M6" s="208"/>
      <c r="N6" s="208"/>
      <c r="O6" s="208"/>
      <c r="P6" s="208"/>
      <c r="Q6" s="208"/>
      <c r="R6" s="208"/>
      <c r="S6" s="208"/>
      <c r="T6" s="208"/>
      <c r="U6" s="208"/>
      <c r="V6" s="208"/>
      <c r="W6" s="208"/>
      <c r="X6" s="208"/>
      <c r="Y6" s="208"/>
      <c r="Z6" s="208"/>
      <c r="AA6" s="208"/>
      <c r="AB6" s="208"/>
      <c r="AC6" s="208"/>
      <c r="AD6" s="208"/>
      <c r="AE6" s="208"/>
      <c r="AF6" s="208"/>
      <c r="AG6" s="208"/>
      <c r="AH6" s="208"/>
      <c r="AI6" s="208"/>
      <c r="AJ6" s="208"/>
      <c r="AK6" s="208"/>
      <c r="AL6" s="208"/>
      <c r="AM6" s="208"/>
      <c r="AN6" s="208"/>
      <c r="AO6" s="208"/>
      <c r="AP6" s="208"/>
      <c r="AQ6" s="208"/>
      <c r="AR6" s="208"/>
      <c r="AS6" s="208"/>
      <c r="AT6" s="208"/>
      <c r="AU6" s="208"/>
      <c r="AV6" s="208"/>
      <c r="AW6" s="208"/>
      <c r="AX6" s="208"/>
      <c r="AY6" s="208"/>
      <c r="AZ6" s="208"/>
      <c r="BA6" s="208"/>
      <c r="BB6" s="209"/>
    </row>
    <row r="7" spans="1:55" ht="18.75" customHeight="1">
      <c r="B7" s="210"/>
      <c r="C7" s="211"/>
      <c r="D7" s="211"/>
      <c r="E7" s="211"/>
      <c r="F7" s="211"/>
      <c r="G7" s="211"/>
      <c r="H7" s="211"/>
      <c r="I7" s="211"/>
      <c r="J7" s="211"/>
      <c r="K7" s="211"/>
      <c r="L7" s="211"/>
      <c r="M7" s="211"/>
      <c r="N7" s="211"/>
      <c r="O7" s="211"/>
      <c r="P7" s="211"/>
      <c r="Q7" s="211"/>
      <c r="R7" s="211"/>
      <c r="S7" s="211"/>
      <c r="T7" s="211"/>
      <c r="U7" s="211"/>
      <c r="V7" s="211"/>
      <c r="W7" s="211"/>
      <c r="X7" s="211"/>
      <c r="Y7" s="211"/>
      <c r="Z7" s="211"/>
      <c r="AA7" s="211"/>
      <c r="AB7" s="211"/>
      <c r="AC7" s="211"/>
      <c r="AD7" s="211"/>
      <c r="AE7" s="211"/>
      <c r="AF7" s="211"/>
      <c r="AG7" s="211"/>
      <c r="AH7" s="211"/>
      <c r="AI7" s="211"/>
      <c r="AJ7" s="211"/>
      <c r="AK7" s="211"/>
      <c r="AL7" s="211"/>
      <c r="AM7" s="211"/>
      <c r="AN7" s="211"/>
      <c r="AO7" s="211"/>
      <c r="AP7" s="211"/>
      <c r="AQ7" s="211"/>
      <c r="AR7" s="211"/>
      <c r="AS7" s="211"/>
      <c r="AT7" s="211"/>
      <c r="AU7" s="211"/>
      <c r="AV7" s="211"/>
      <c r="AW7" s="211"/>
      <c r="AX7" s="211"/>
      <c r="AY7" s="211"/>
      <c r="AZ7" s="211"/>
      <c r="BA7" s="211"/>
      <c r="BB7" s="212"/>
    </row>
    <row r="8" spans="1:55" ht="18.75" customHeight="1">
      <c r="B8" s="210"/>
      <c r="C8" s="211"/>
      <c r="D8" s="211"/>
      <c r="E8" s="211"/>
      <c r="F8" s="211"/>
      <c r="G8" s="211"/>
      <c r="H8" s="211"/>
      <c r="I8" s="211"/>
      <c r="J8" s="211"/>
      <c r="K8" s="211"/>
      <c r="L8" s="211"/>
      <c r="M8" s="211"/>
      <c r="N8" s="211"/>
      <c r="O8" s="211"/>
      <c r="P8" s="211"/>
      <c r="Q8" s="211"/>
      <c r="R8" s="211"/>
      <c r="S8" s="211"/>
      <c r="T8" s="211"/>
      <c r="U8" s="211"/>
      <c r="V8" s="211"/>
      <c r="W8" s="211"/>
      <c r="X8" s="211"/>
      <c r="Y8" s="211"/>
      <c r="Z8" s="211"/>
      <c r="AA8" s="211"/>
      <c r="AB8" s="211"/>
      <c r="AC8" s="211"/>
      <c r="AD8" s="211"/>
      <c r="AE8" s="211"/>
      <c r="AF8" s="211"/>
      <c r="AG8" s="211"/>
      <c r="AH8" s="211"/>
      <c r="AI8" s="211"/>
      <c r="AJ8" s="211"/>
      <c r="AK8" s="211"/>
      <c r="AL8" s="211"/>
      <c r="AM8" s="211"/>
      <c r="AN8" s="211"/>
      <c r="AO8" s="211"/>
      <c r="AP8" s="211"/>
      <c r="AQ8" s="211"/>
      <c r="AR8" s="211"/>
      <c r="AS8" s="211"/>
      <c r="AT8" s="211"/>
      <c r="AU8" s="211"/>
      <c r="AV8" s="211"/>
      <c r="AW8" s="211"/>
      <c r="AX8" s="211"/>
      <c r="AY8" s="211"/>
      <c r="AZ8" s="211"/>
      <c r="BA8" s="211"/>
      <c r="BB8" s="212"/>
    </row>
    <row r="9" spans="1:55" ht="18.75" customHeight="1">
      <c r="B9" s="210"/>
      <c r="C9" s="211"/>
      <c r="D9" s="211"/>
      <c r="E9" s="211"/>
      <c r="F9" s="211"/>
      <c r="G9" s="211"/>
      <c r="H9" s="211"/>
      <c r="I9" s="211"/>
      <c r="J9" s="211"/>
      <c r="K9" s="211"/>
      <c r="L9" s="211"/>
      <c r="M9" s="211"/>
      <c r="N9" s="211"/>
      <c r="O9" s="211"/>
      <c r="P9" s="211"/>
      <c r="Q9" s="211"/>
      <c r="R9" s="211"/>
      <c r="S9" s="211"/>
      <c r="T9" s="211"/>
      <c r="U9" s="211"/>
      <c r="V9" s="211"/>
      <c r="W9" s="211"/>
      <c r="X9" s="211"/>
      <c r="Y9" s="211"/>
      <c r="Z9" s="211"/>
      <c r="AA9" s="211"/>
      <c r="AB9" s="211"/>
      <c r="AC9" s="211"/>
      <c r="AD9" s="211"/>
      <c r="AE9" s="211"/>
      <c r="AF9" s="211"/>
      <c r="AG9" s="211"/>
      <c r="AH9" s="211"/>
      <c r="AI9" s="211"/>
      <c r="AJ9" s="211"/>
      <c r="AK9" s="211"/>
      <c r="AL9" s="211"/>
      <c r="AM9" s="211"/>
      <c r="AN9" s="211"/>
      <c r="AO9" s="211"/>
      <c r="AP9" s="211"/>
      <c r="AQ9" s="211"/>
      <c r="AR9" s="211"/>
      <c r="AS9" s="211"/>
      <c r="AT9" s="211"/>
      <c r="AU9" s="211"/>
      <c r="AV9" s="211"/>
      <c r="AW9" s="211"/>
      <c r="AX9" s="211"/>
      <c r="AY9" s="211"/>
      <c r="AZ9" s="211"/>
      <c r="BA9" s="211"/>
      <c r="BB9" s="212"/>
    </row>
    <row r="10" spans="1:55" ht="15.75" customHeight="1">
      <c r="B10" s="210"/>
      <c r="C10" s="211"/>
      <c r="D10" s="211"/>
      <c r="E10" s="211"/>
      <c r="F10" s="211"/>
      <c r="G10" s="211"/>
      <c r="H10" s="211"/>
      <c r="I10" s="211"/>
      <c r="J10" s="211"/>
      <c r="K10" s="211"/>
      <c r="L10" s="211"/>
      <c r="M10" s="211"/>
      <c r="N10" s="211"/>
      <c r="O10" s="211"/>
      <c r="P10" s="211"/>
      <c r="Q10" s="211"/>
      <c r="R10" s="211"/>
      <c r="S10" s="211"/>
      <c r="T10" s="211"/>
      <c r="U10" s="211"/>
      <c r="V10" s="211"/>
      <c r="W10" s="211"/>
      <c r="X10" s="211"/>
      <c r="Y10" s="211"/>
      <c r="Z10" s="211"/>
      <c r="AA10" s="211"/>
      <c r="AB10" s="211"/>
      <c r="AC10" s="211"/>
      <c r="AD10" s="211"/>
      <c r="AE10" s="211"/>
      <c r="AF10" s="211"/>
      <c r="AG10" s="211"/>
      <c r="AH10" s="211"/>
      <c r="AI10" s="211"/>
      <c r="AJ10" s="211"/>
      <c r="AK10" s="211"/>
      <c r="AL10" s="211"/>
      <c r="AM10" s="211"/>
      <c r="AN10" s="211"/>
      <c r="AO10" s="211"/>
      <c r="AP10" s="211"/>
      <c r="AQ10" s="211"/>
      <c r="AR10" s="211"/>
      <c r="AS10" s="211"/>
      <c r="AT10" s="211"/>
      <c r="AU10" s="211"/>
      <c r="AV10" s="211"/>
      <c r="AW10" s="211"/>
      <c r="AX10" s="211"/>
      <c r="AY10" s="211"/>
      <c r="AZ10" s="211"/>
      <c r="BA10" s="211"/>
      <c r="BB10" s="212"/>
    </row>
    <row r="11" spans="1:55" ht="15.75" customHeight="1">
      <c r="B11" s="210"/>
      <c r="C11" s="211"/>
      <c r="D11" s="211"/>
      <c r="E11" s="211"/>
      <c r="F11" s="211"/>
      <c r="G11" s="211"/>
      <c r="H11" s="211"/>
      <c r="I11" s="211"/>
      <c r="J11" s="211"/>
      <c r="K11" s="211"/>
      <c r="L11" s="211"/>
      <c r="M11" s="211"/>
      <c r="N11" s="211"/>
      <c r="O11" s="211"/>
      <c r="P11" s="211"/>
      <c r="Q11" s="211"/>
      <c r="R11" s="211"/>
      <c r="S11" s="211"/>
      <c r="T11" s="211"/>
      <c r="U11" s="211"/>
      <c r="V11" s="211"/>
      <c r="W11" s="211"/>
      <c r="X11" s="211"/>
      <c r="Y11" s="211"/>
      <c r="Z11" s="211"/>
      <c r="AA11" s="211"/>
      <c r="AB11" s="211"/>
      <c r="AC11" s="211"/>
      <c r="AD11" s="211"/>
      <c r="AE11" s="211"/>
      <c r="AF11" s="211"/>
      <c r="AG11" s="211"/>
      <c r="AH11" s="211"/>
      <c r="AI11" s="211"/>
      <c r="AJ11" s="211"/>
      <c r="AK11" s="211"/>
      <c r="AL11" s="211"/>
      <c r="AM11" s="211"/>
      <c r="AN11" s="211"/>
      <c r="AO11" s="211"/>
      <c r="AP11" s="211"/>
      <c r="AQ11" s="211"/>
      <c r="AR11" s="211"/>
      <c r="AS11" s="211"/>
      <c r="AT11" s="211"/>
      <c r="AU11" s="211"/>
      <c r="AV11" s="211"/>
      <c r="AW11" s="211"/>
      <c r="AX11" s="211"/>
      <c r="AY11" s="211"/>
      <c r="AZ11" s="211"/>
      <c r="BA11" s="211"/>
      <c r="BB11" s="212"/>
    </row>
    <row r="12" spans="1:55" ht="18.75" customHeight="1">
      <c r="B12" s="210"/>
      <c r="C12" s="211"/>
      <c r="D12" s="211"/>
      <c r="E12" s="211"/>
      <c r="F12" s="211"/>
      <c r="G12" s="211"/>
      <c r="H12" s="211"/>
      <c r="I12" s="211"/>
      <c r="J12" s="211"/>
      <c r="K12" s="211"/>
      <c r="L12" s="211"/>
      <c r="M12" s="211"/>
      <c r="N12" s="211"/>
      <c r="O12" s="211"/>
      <c r="P12" s="211"/>
      <c r="Q12" s="211"/>
      <c r="R12" s="211"/>
      <c r="S12" s="211"/>
      <c r="T12" s="211"/>
      <c r="U12" s="211"/>
      <c r="V12" s="211"/>
      <c r="W12" s="211"/>
      <c r="X12" s="211"/>
      <c r="Y12" s="211"/>
      <c r="Z12" s="211"/>
      <c r="AA12" s="211"/>
      <c r="AB12" s="211"/>
      <c r="AC12" s="211"/>
      <c r="AD12" s="211"/>
      <c r="AE12" s="211"/>
      <c r="AF12" s="211"/>
      <c r="AG12" s="211"/>
      <c r="AH12" s="211"/>
      <c r="AI12" s="211"/>
      <c r="AJ12" s="211"/>
      <c r="AK12" s="211"/>
      <c r="AL12" s="211"/>
      <c r="AM12" s="211"/>
      <c r="AN12" s="211"/>
      <c r="AO12" s="211"/>
      <c r="AP12" s="211"/>
      <c r="AQ12" s="211"/>
      <c r="AR12" s="211"/>
      <c r="AS12" s="211"/>
      <c r="AT12" s="211"/>
      <c r="AU12" s="211"/>
      <c r="AV12" s="211"/>
      <c r="AW12" s="211"/>
      <c r="AX12" s="211"/>
      <c r="AY12" s="211"/>
      <c r="AZ12" s="211"/>
      <c r="BA12" s="211"/>
      <c r="BB12" s="212"/>
    </row>
    <row r="13" spans="1:55" ht="15.75" customHeight="1">
      <c r="B13" s="210"/>
      <c r="C13" s="211"/>
      <c r="D13" s="211"/>
      <c r="E13" s="211"/>
      <c r="F13" s="211"/>
      <c r="G13" s="211"/>
      <c r="H13" s="211"/>
      <c r="I13" s="211"/>
      <c r="J13" s="211"/>
      <c r="K13" s="211"/>
      <c r="L13" s="211"/>
      <c r="M13" s="211"/>
      <c r="N13" s="211"/>
      <c r="O13" s="211"/>
      <c r="P13" s="211"/>
      <c r="Q13" s="211"/>
      <c r="R13" s="211"/>
      <c r="S13" s="211"/>
      <c r="T13" s="211"/>
      <c r="U13" s="211"/>
      <c r="V13" s="211"/>
      <c r="W13" s="211"/>
      <c r="X13" s="211"/>
      <c r="Y13" s="211"/>
      <c r="Z13" s="211"/>
      <c r="AA13" s="211"/>
      <c r="AB13" s="211"/>
      <c r="AC13" s="211"/>
      <c r="AD13" s="211"/>
      <c r="AE13" s="211"/>
      <c r="AF13" s="211"/>
      <c r="AG13" s="211"/>
      <c r="AH13" s="211"/>
      <c r="AI13" s="211"/>
      <c r="AJ13" s="211"/>
      <c r="AK13" s="211"/>
      <c r="AL13" s="211"/>
      <c r="AM13" s="211"/>
      <c r="AN13" s="211"/>
      <c r="AO13" s="211"/>
      <c r="AP13" s="211"/>
      <c r="AQ13" s="211"/>
      <c r="AR13" s="211"/>
      <c r="AS13" s="211"/>
      <c r="AT13" s="211"/>
      <c r="AU13" s="211"/>
      <c r="AV13" s="211"/>
      <c r="AW13" s="211"/>
      <c r="AX13" s="211"/>
      <c r="AY13" s="211"/>
      <c r="AZ13" s="211"/>
      <c r="BA13" s="211"/>
      <c r="BB13" s="212"/>
    </row>
    <row r="14" spans="1:55" ht="16.5" customHeight="1">
      <c r="B14" s="210"/>
      <c r="C14" s="211"/>
      <c r="D14" s="211"/>
      <c r="E14" s="211"/>
      <c r="F14" s="211"/>
      <c r="G14" s="211"/>
      <c r="H14" s="211"/>
      <c r="I14" s="211"/>
      <c r="J14" s="211"/>
      <c r="K14" s="211"/>
      <c r="L14" s="211"/>
      <c r="M14" s="211"/>
      <c r="N14" s="211"/>
      <c r="O14" s="211"/>
      <c r="P14" s="211"/>
      <c r="Q14" s="211"/>
      <c r="R14" s="211"/>
      <c r="S14" s="211"/>
      <c r="T14" s="211"/>
      <c r="U14" s="211"/>
      <c r="V14" s="211"/>
      <c r="W14" s="211"/>
      <c r="X14" s="211"/>
      <c r="Y14" s="211"/>
      <c r="Z14" s="211"/>
      <c r="AA14" s="211"/>
      <c r="AB14" s="211"/>
      <c r="AC14" s="211"/>
      <c r="AD14" s="211"/>
      <c r="AE14" s="211"/>
      <c r="AF14" s="211"/>
      <c r="AG14" s="211"/>
      <c r="AH14" s="211"/>
      <c r="AI14" s="211"/>
      <c r="AJ14" s="211"/>
      <c r="AK14" s="211"/>
      <c r="AL14" s="211"/>
      <c r="AM14" s="211"/>
      <c r="AN14" s="211"/>
      <c r="AO14" s="211"/>
      <c r="AP14" s="211"/>
      <c r="AQ14" s="211"/>
      <c r="AR14" s="211"/>
      <c r="AS14" s="211"/>
      <c r="AT14" s="211"/>
      <c r="AU14" s="211"/>
      <c r="AV14" s="211"/>
      <c r="AW14" s="211"/>
      <c r="AX14" s="211"/>
      <c r="AY14" s="211"/>
      <c r="AZ14" s="211"/>
      <c r="BA14" s="211"/>
      <c r="BB14" s="212"/>
    </row>
    <row r="15" spans="1:55" ht="15.75" customHeight="1">
      <c r="B15" s="210"/>
      <c r="C15" s="211"/>
      <c r="D15" s="211"/>
      <c r="E15" s="211"/>
      <c r="F15" s="211"/>
      <c r="G15" s="211"/>
      <c r="H15" s="211"/>
      <c r="I15" s="211"/>
      <c r="J15" s="211"/>
      <c r="K15" s="211"/>
      <c r="L15" s="211"/>
      <c r="M15" s="211"/>
      <c r="N15" s="211"/>
      <c r="O15" s="211"/>
      <c r="P15" s="211"/>
      <c r="Q15" s="211"/>
      <c r="R15" s="211"/>
      <c r="S15" s="211"/>
      <c r="T15" s="211"/>
      <c r="U15" s="211"/>
      <c r="V15" s="211"/>
      <c r="W15" s="211"/>
      <c r="X15" s="211"/>
      <c r="Y15" s="211"/>
      <c r="Z15" s="211"/>
      <c r="AA15" s="211"/>
      <c r="AB15" s="211"/>
      <c r="AC15" s="211"/>
      <c r="AD15" s="211"/>
      <c r="AE15" s="211"/>
      <c r="AF15" s="211"/>
      <c r="AG15" s="211"/>
      <c r="AH15" s="211"/>
      <c r="AI15" s="211"/>
      <c r="AJ15" s="211"/>
      <c r="AK15" s="211"/>
      <c r="AL15" s="211"/>
      <c r="AM15" s="211"/>
      <c r="AN15" s="211"/>
      <c r="AO15" s="211"/>
      <c r="AP15" s="211"/>
      <c r="AQ15" s="211"/>
      <c r="AR15" s="211"/>
      <c r="AS15" s="211"/>
      <c r="AT15" s="211"/>
      <c r="AU15" s="211"/>
      <c r="AV15" s="211"/>
      <c r="AW15" s="211"/>
      <c r="AX15" s="211"/>
      <c r="AY15" s="211"/>
      <c r="AZ15" s="211"/>
      <c r="BA15" s="211"/>
      <c r="BB15" s="212"/>
    </row>
    <row r="16" spans="1:55" ht="15.75" customHeight="1">
      <c r="B16" s="210"/>
      <c r="C16" s="211"/>
      <c r="D16" s="211"/>
      <c r="E16" s="211"/>
      <c r="F16" s="211"/>
      <c r="G16" s="211"/>
      <c r="H16" s="211"/>
      <c r="I16" s="211"/>
      <c r="J16" s="211"/>
      <c r="K16" s="211"/>
      <c r="L16" s="211"/>
      <c r="M16" s="211"/>
      <c r="N16" s="211"/>
      <c r="O16" s="211"/>
      <c r="P16" s="211"/>
      <c r="Q16" s="211"/>
      <c r="R16" s="211"/>
      <c r="S16" s="211"/>
      <c r="T16" s="211"/>
      <c r="U16" s="211"/>
      <c r="V16" s="211"/>
      <c r="W16" s="211"/>
      <c r="X16" s="211"/>
      <c r="Y16" s="211"/>
      <c r="Z16" s="211"/>
      <c r="AA16" s="211"/>
      <c r="AB16" s="211"/>
      <c r="AC16" s="211"/>
      <c r="AD16" s="211"/>
      <c r="AE16" s="211"/>
      <c r="AF16" s="211"/>
      <c r="AG16" s="211"/>
      <c r="AH16" s="211"/>
      <c r="AI16" s="211"/>
      <c r="AJ16" s="211"/>
      <c r="AK16" s="211"/>
      <c r="AL16" s="211"/>
      <c r="AM16" s="211"/>
      <c r="AN16" s="211"/>
      <c r="AO16" s="211"/>
      <c r="AP16" s="211"/>
      <c r="AQ16" s="211"/>
      <c r="AR16" s="211"/>
      <c r="AS16" s="211"/>
      <c r="AT16" s="211"/>
      <c r="AU16" s="211"/>
      <c r="AV16" s="211"/>
      <c r="AW16" s="211"/>
      <c r="AX16" s="211"/>
      <c r="AY16" s="211"/>
      <c r="AZ16" s="211"/>
      <c r="BA16" s="211"/>
      <c r="BB16" s="212"/>
    </row>
    <row r="17" spans="2:54" ht="15.75" customHeight="1">
      <c r="B17" s="210"/>
      <c r="C17" s="211"/>
      <c r="D17" s="211"/>
      <c r="E17" s="211"/>
      <c r="F17" s="211"/>
      <c r="G17" s="211"/>
      <c r="H17" s="211"/>
      <c r="I17" s="211"/>
      <c r="J17" s="211"/>
      <c r="K17" s="211"/>
      <c r="L17" s="211"/>
      <c r="M17" s="211"/>
      <c r="N17" s="211"/>
      <c r="O17" s="211"/>
      <c r="P17" s="211"/>
      <c r="Q17" s="211"/>
      <c r="R17" s="211"/>
      <c r="S17" s="211"/>
      <c r="T17" s="211"/>
      <c r="U17" s="211"/>
      <c r="V17" s="211"/>
      <c r="W17" s="211"/>
      <c r="X17" s="211"/>
      <c r="Y17" s="211"/>
      <c r="Z17" s="211"/>
      <c r="AA17" s="211"/>
      <c r="AB17" s="211"/>
      <c r="AC17" s="211"/>
      <c r="AD17" s="211"/>
      <c r="AE17" s="211"/>
      <c r="AF17" s="211"/>
      <c r="AG17" s="211"/>
      <c r="AH17" s="211"/>
      <c r="AI17" s="211"/>
      <c r="AJ17" s="211"/>
      <c r="AK17" s="211"/>
      <c r="AL17" s="211"/>
      <c r="AM17" s="211"/>
      <c r="AN17" s="211"/>
      <c r="AO17" s="211"/>
      <c r="AP17" s="211"/>
      <c r="AQ17" s="211"/>
      <c r="AR17" s="211"/>
      <c r="AS17" s="211"/>
      <c r="AT17" s="211"/>
      <c r="AU17" s="211"/>
      <c r="AV17" s="211"/>
      <c r="AW17" s="211"/>
      <c r="AX17" s="211"/>
      <c r="AY17" s="211"/>
      <c r="AZ17" s="211"/>
      <c r="BA17" s="211"/>
      <c r="BB17" s="212"/>
    </row>
    <row r="18" spans="2:54" ht="15.75" customHeight="1">
      <c r="B18" s="210"/>
      <c r="C18" s="211"/>
      <c r="D18" s="211"/>
      <c r="E18" s="211"/>
      <c r="F18" s="211"/>
      <c r="G18" s="211"/>
      <c r="H18" s="211"/>
      <c r="I18" s="211"/>
      <c r="J18" s="211"/>
      <c r="K18" s="211"/>
      <c r="L18" s="211"/>
      <c r="M18" s="211"/>
      <c r="N18" s="211"/>
      <c r="O18" s="211"/>
      <c r="P18" s="211"/>
      <c r="Q18" s="211"/>
      <c r="R18" s="211"/>
      <c r="S18" s="211"/>
      <c r="T18" s="211"/>
      <c r="U18" s="211"/>
      <c r="V18" s="211"/>
      <c r="W18" s="211"/>
      <c r="X18" s="211"/>
      <c r="Y18" s="211"/>
      <c r="Z18" s="211"/>
      <c r="AA18" s="211"/>
      <c r="AB18" s="211"/>
      <c r="AC18" s="211"/>
      <c r="AD18" s="211"/>
      <c r="AE18" s="211"/>
      <c r="AF18" s="211"/>
      <c r="AG18" s="211"/>
      <c r="AH18" s="211"/>
      <c r="AI18" s="211"/>
      <c r="AJ18" s="211"/>
      <c r="AK18" s="211"/>
      <c r="AL18" s="211"/>
      <c r="AM18" s="211"/>
      <c r="AN18" s="211"/>
      <c r="AO18" s="211"/>
      <c r="AP18" s="211"/>
      <c r="AQ18" s="211"/>
      <c r="AR18" s="211"/>
      <c r="AS18" s="211"/>
      <c r="AT18" s="211"/>
      <c r="AU18" s="211"/>
      <c r="AV18" s="211"/>
      <c r="AW18" s="211"/>
      <c r="AX18" s="211"/>
      <c r="AY18" s="211"/>
      <c r="AZ18" s="211"/>
      <c r="BA18" s="211"/>
      <c r="BB18" s="212"/>
    </row>
    <row r="19" spans="2:54" ht="15.75" customHeight="1">
      <c r="B19" s="210"/>
      <c r="C19" s="211"/>
      <c r="D19" s="211"/>
      <c r="E19" s="211"/>
      <c r="F19" s="211"/>
      <c r="G19" s="211"/>
      <c r="H19" s="211"/>
      <c r="I19" s="211"/>
      <c r="J19" s="211"/>
      <c r="K19" s="211"/>
      <c r="L19" s="211"/>
      <c r="M19" s="211"/>
      <c r="N19" s="211"/>
      <c r="O19" s="211"/>
      <c r="P19" s="211"/>
      <c r="Q19" s="211"/>
      <c r="R19" s="211"/>
      <c r="S19" s="211"/>
      <c r="T19" s="211"/>
      <c r="U19" s="211"/>
      <c r="V19" s="211"/>
      <c r="W19" s="211"/>
      <c r="X19" s="211"/>
      <c r="Y19" s="211"/>
      <c r="Z19" s="211"/>
      <c r="AA19" s="211"/>
      <c r="AB19" s="211"/>
      <c r="AC19" s="211"/>
      <c r="AD19" s="211"/>
      <c r="AE19" s="211"/>
      <c r="AF19" s="211"/>
      <c r="AG19" s="211"/>
      <c r="AH19" s="211"/>
      <c r="AI19" s="211"/>
      <c r="AJ19" s="211"/>
      <c r="AK19" s="211"/>
      <c r="AL19" s="211"/>
      <c r="AM19" s="211"/>
      <c r="AN19" s="211"/>
      <c r="AO19" s="211"/>
      <c r="AP19" s="211"/>
      <c r="AQ19" s="211"/>
      <c r="AR19" s="211"/>
      <c r="AS19" s="211"/>
      <c r="AT19" s="211"/>
      <c r="AU19" s="211"/>
      <c r="AV19" s="211"/>
      <c r="AW19" s="211"/>
      <c r="AX19" s="211"/>
      <c r="AY19" s="211"/>
      <c r="AZ19" s="211"/>
      <c r="BA19" s="211"/>
      <c r="BB19" s="212"/>
    </row>
    <row r="20" spans="2:54" ht="15.75" customHeight="1">
      <c r="B20" s="210"/>
      <c r="C20" s="211"/>
      <c r="D20" s="211"/>
      <c r="E20" s="211"/>
      <c r="F20" s="211"/>
      <c r="G20" s="211"/>
      <c r="H20" s="211"/>
      <c r="I20" s="211"/>
      <c r="J20" s="211"/>
      <c r="K20" s="211"/>
      <c r="L20" s="211"/>
      <c r="M20" s="211"/>
      <c r="N20" s="211"/>
      <c r="O20" s="211"/>
      <c r="P20" s="211"/>
      <c r="Q20" s="211"/>
      <c r="R20" s="211"/>
      <c r="S20" s="211"/>
      <c r="T20" s="211"/>
      <c r="U20" s="211"/>
      <c r="V20" s="211"/>
      <c r="W20" s="211"/>
      <c r="X20" s="211"/>
      <c r="Y20" s="211"/>
      <c r="Z20" s="211"/>
      <c r="AA20" s="211"/>
      <c r="AB20" s="211"/>
      <c r="AC20" s="211"/>
      <c r="AD20" s="211"/>
      <c r="AE20" s="211"/>
      <c r="AF20" s="211"/>
      <c r="AG20" s="211"/>
      <c r="AH20" s="211"/>
      <c r="AI20" s="211"/>
      <c r="AJ20" s="211"/>
      <c r="AK20" s="211"/>
      <c r="AL20" s="211"/>
      <c r="AM20" s="211"/>
      <c r="AN20" s="211"/>
      <c r="AO20" s="211"/>
      <c r="AP20" s="211"/>
      <c r="AQ20" s="211"/>
      <c r="AR20" s="211"/>
      <c r="AS20" s="211"/>
      <c r="AT20" s="211"/>
      <c r="AU20" s="211"/>
      <c r="AV20" s="211"/>
      <c r="AW20" s="211"/>
      <c r="AX20" s="211"/>
      <c r="AY20" s="211"/>
      <c r="AZ20" s="211"/>
      <c r="BA20" s="211"/>
      <c r="BB20" s="212"/>
    </row>
    <row r="21" spans="2:54" ht="15.75" customHeight="1">
      <c r="B21" s="210"/>
      <c r="C21" s="211"/>
      <c r="D21" s="211"/>
      <c r="E21" s="211"/>
      <c r="F21" s="211"/>
      <c r="G21" s="211"/>
      <c r="H21" s="211"/>
      <c r="I21" s="211"/>
      <c r="J21" s="211"/>
      <c r="K21" s="211"/>
      <c r="L21" s="211"/>
      <c r="M21" s="211"/>
      <c r="N21" s="211"/>
      <c r="O21" s="211"/>
      <c r="P21" s="211"/>
      <c r="Q21" s="211"/>
      <c r="R21" s="211"/>
      <c r="S21" s="211"/>
      <c r="T21" s="211"/>
      <c r="U21" s="211"/>
      <c r="V21" s="211"/>
      <c r="W21" s="211"/>
      <c r="X21" s="211"/>
      <c r="Y21" s="211"/>
      <c r="Z21" s="211"/>
      <c r="AA21" s="211"/>
      <c r="AB21" s="211"/>
      <c r="AC21" s="211"/>
      <c r="AD21" s="211"/>
      <c r="AE21" s="211"/>
      <c r="AF21" s="211"/>
      <c r="AG21" s="211"/>
      <c r="AH21" s="211"/>
      <c r="AI21" s="211"/>
      <c r="AJ21" s="211"/>
      <c r="AK21" s="211"/>
      <c r="AL21" s="211"/>
      <c r="AM21" s="211"/>
      <c r="AN21" s="211"/>
      <c r="AO21" s="211"/>
      <c r="AP21" s="211"/>
      <c r="AQ21" s="211"/>
      <c r="AR21" s="211"/>
      <c r="AS21" s="211"/>
      <c r="AT21" s="211"/>
      <c r="AU21" s="211"/>
      <c r="AV21" s="211"/>
      <c r="AW21" s="211"/>
      <c r="AX21" s="211"/>
      <c r="AY21" s="211"/>
      <c r="AZ21" s="211"/>
      <c r="BA21" s="211"/>
      <c r="BB21" s="212"/>
    </row>
    <row r="22" spans="2:54" ht="15.75" customHeight="1">
      <c r="B22" s="210"/>
      <c r="C22" s="211"/>
      <c r="D22" s="211"/>
      <c r="E22" s="211"/>
      <c r="F22" s="211"/>
      <c r="G22" s="211"/>
      <c r="H22" s="211"/>
      <c r="I22" s="211"/>
      <c r="J22" s="211"/>
      <c r="K22" s="211"/>
      <c r="L22" s="211"/>
      <c r="M22" s="211"/>
      <c r="N22" s="211"/>
      <c r="O22" s="211"/>
      <c r="P22" s="211"/>
      <c r="Q22" s="211"/>
      <c r="R22" s="211"/>
      <c r="S22" s="211"/>
      <c r="T22" s="211"/>
      <c r="U22" s="211"/>
      <c r="V22" s="211"/>
      <c r="W22" s="211"/>
      <c r="X22" s="211"/>
      <c r="Y22" s="211"/>
      <c r="Z22" s="211"/>
      <c r="AA22" s="211"/>
      <c r="AB22" s="211"/>
      <c r="AC22" s="211"/>
      <c r="AD22" s="211"/>
      <c r="AE22" s="211"/>
      <c r="AF22" s="211"/>
      <c r="AG22" s="211"/>
      <c r="AH22" s="211"/>
      <c r="AI22" s="211"/>
      <c r="AJ22" s="211"/>
      <c r="AK22" s="211"/>
      <c r="AL22" s="211"/>
      <c r="AM22" s="211"/>
      <c r="AN22" s="211"/>
      <c r="AO22" s="211"/>
      <c r="AP22" s="211"/>
      <c r="AQ22" s="211"/>
      <c r="AR22" s="211"/>
      <c r="AS22" s="211"/>
      <c r="AT22" s="211"/>
      <c r="AU22" s="211"/>
      <c r="AV22" s="211"/>
      <c r="AW22" s="211"/>
      <c r="AX22" s="211"/>
      <c r="AY22" s="211"/>
      <c r="AZ22" s="211"/>
      <c r="BA22" s="211"/>
      <c r="BB22" s="212"/>
    </row>
    <row r="23" spans="2:54" ht="18.75" customHeight="1">
      <c r="B23" s="210"/>
      <c r="C23" s="211"/>
      <c r="D23" s="211"/>
      <c r="E23" s="211"/>
      <c r="F23" s="211"/>
      <c r="G23" s="211"/>
      <c r="H23" s="211"/>
      <c r="I23" s="211"/>
      <c r="J23" s="211"/>
      <c r="K23" s="211"/>
      <c r="L23" s="211"/>
      <c r="M23" s="211"/>
      <c r="N23" s="211"/>
      <c r="O23" s="211"/>
      <c r="P23" s="211"/>
      <c r="Q23" s="211"/>
      <c r="R23" s="211"/>
      <c r="S23" s="211"/>
      <c r="T23" s="211"/>
      <c r="U23" s="211"/>
      <c r="V23" s="211"/>
      <c r="W23" s="211"/>
      <c r="X23" s="211"/>
      <c r="Y23" s="211"/>
      <c r="Z23" s="211"/>
      <c r="AA23" s="211"/>
      <c r="AB23" s="211"/>
      <c r="AC23" s="211"/>
      <c r="AD23" s="211"/>
      <c r="AE23" s="211"/>
      <c r="AF23" s="211"/>
      <c r="AG23" s="211"/>
      <c r="AH23" s="211"/>
      <c r="AI23" s="211"/>
      <c r="AJ23" s="211"/>
      <c r="AK23" s="211"/>
      <c r="AL23" s="211"/>
      <c r="AM23" s="211"/>
      <c r="AN23" s="211"/>
      <c r="AO23" s="211"/>
      <c r="AP23" s="211"/>
      <c r="AQ23" s="211"/>
      <c r="AR23" s="211"/>
      <c r="AS23" s="211"/>
      <c r="AT23" s="211"/>
      <c r="AU23" s="211"/>
      <c r="AV23" s="211"/>
      <c r="AW23" s="211"/>
      <c r="AX23" s="211"/>
      <c r="AY23" s="211"/>
      <c r="AZ23" s="211"/>
      <c r="BA23" s="211"/>
      <c r="BB23" s="212"/>
    </row>
    <row r="24" spans="2:54" ht="18.75" customHeight="1">
      <c r="B24" s="210"/>
      <c r="C24" s="211"/>
      <c r="D24" s="211"/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1"/>
      <c r="P24" s="211"/>
      <c r="Q24" s="211"/>
      <c r="R24" s="211"/>
      <c r="S24" s="211"/>
      <c r="T24" s="211"/>
      <c r="U24" s="211"/>
      <c r="V24" s="211"/>
      <c r="W24" s="211"/>
      <c r="X24" s="211"/>
      <c r="Y24" s="211"/>
      <c r="Z24" s="211"/>
      <c r="AA24" s="211"/>
      <c r="AB24" s="211"/>
      <c r="AC24" s="211"/>
      <c r="AD24" s="211"/>
      <c r="AE24" s="211"/>
      <c r="AF24" s="211"/>
      <c r="AG24" s="211"/>
      <c r="AH24" s="211"/>
      <c r="AI24" s="211"/>
      <c r="AJ24" s="211"/>
      <c r="AK24" s="211"/>
      <c r="AL24" s="211"/>
      <c r="AM24" s="211"/>
      <c r="AN24" s="211"/>
      <c r="AO24" s="211"/>
      <c r="AP24" s="211"/>
      <c r="AQ24" s="211"/>
      <c r="AR24" s="211"/>
      <c r="AS24" s="211"/>
      <c r="AT24" s="211"/>
      <c r="AU24" s="211"/>
      <c r="AV24" s="211"/>
      <c r="AW24" s="211"/>
      <c r="AX24" s="211"/>
      <c r="AY24" s="211"/>
      <c r="AZ24" s="211"/>
      <c r="BA24" s="211"/>
      <c r="BB24" s="212"/>
    </row>
    <row r="25" spans="2:54" ht="18.75" customHeight="1">
      <c r="B25" s="210"/>
      <c r="C25" s="211"/>
      <c r="D25" s="211"/>
      <c r="E25" s="211"/>
      <c r="F25" s="211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211"/>
      <c r="R25" s="211"/>
      <c r="S25" s="211"/>
      <c r="T25" s="211"/>
      <c r="U25" s="211"/>
      <c r="V25" s="211"/>
      <c r="W25" s="211"/>
      <c r="X25" s="211"/>
      <c r="Y25" s="211"/>
      <c r="Z25" s="211"/>
      <c r="AA25" s="211"/>
      <c r="AB25" s="211"/>
      <c r="AC25" s="211"/>
      <c r="AD25" s="211"/>
      <c r="AE25" s="211"/>
      <c r="AF25" s="211"/>
      <c r="AG25" s="211"/>
      <c r="AH25" s="211"/>
      <c r="AI25" s="211"/>
      <c r="AJ25" s="211"/>
      <c r="AK25" s="211"/>
      <c r="AL25" s="211"/>
      <c r="AM25" s="211"/>
      <c r="AN25" s="211"/>
      <c r="AO25" s="211"/>
      <c r="AP25" s="211"/>
      <c r="AQ25" s="211"/>
      <c r="AR25" s="211"/>
      <c r="AS25" s="211"/>
      <c r="AT25" s="211"/>
      <c r="AU25" s="211"/>
      <c r="AV25" s="211"/>
      <c r="AW25" s="211"/>
      <c r="AX25" s="211"/>
      <c r="AY25" s="211"/>
      <c r="AZ25" s="211"/>
      <c r="BA25" s="211"/>
      <c r="BB25" s="212"/>
    </row>
    <row r="26" spans="2:54" ht="18.75" customHeight="1">
      <c r="B26" s="210"/>
      <c r="C26" s="211"/>
      <c r="D26" s="211"/>
      <c r="E26" s="211"/>
      <c r="F26" s="211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211"/>
      <c r="R26" s="211"/>
      <c r="S26" s="211"/>
      <c r="T26" s="211"/>
      <c r="U26" s="211"/>
      <c r="V26" s="211"/>
      <c r="W26" s="211"/>
      <c r="X26" s="211"/>
      <c r="Y26" s="211"/>
      <c r="Z26" s="211"/>
      <c r="AA26" s="211"/>
      <c r="AB26" s="211"/>
      <c r="AC26" s="211"/>
      <c r="AD26" s="211"/>
      <c r="AE26" s="211"/>
      <c r="AF26" s="211"/>
      <c r="AG26" s="211"/>
      <c r="AH26" s="211"/>
      <c r="AI26" s="211"/>
      <c r="AJ26" s="211"/>
      <c r="AK26" s="211"/>
      <c r="AL26" s="211"/>
      <c r="AM26" s="211"/>
      <c r="AN26" s="211"/>
      <c r="AO26" s="211"/>
      <c r="AP26" s="211"/>
      <c r="AQ26" s="211"/>
      <c r="AR26" s="211"/>
      <c r="AS26" s="211"/>
      <c r="AT26" s="211"/>
      <c r="AU26" s="211"/>
      <c r="AV26" s="211"/>
      <c r="AW26" s="211"/>
      <c r="AX26" s="211"/>
      <c r="AY26" s="211"/>
      <c r="AZ26" s="211"/>
      <c r="BA26" s="211"/>
      <c r="BB26" s="212"/>
    </row>
    <row r="27" spans="2:54" ht="18.75" customHeight="1">
      <c r="B27" s="210"/>
      <c r="C27" s="211"/>
      <c r="D27" s="211"/>
      <c r="E27" s="211"/>
      <c r="F27" s="211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211"/>
      <c r="R27" s="211"/>
      <c r="S27" s="211"/>
      <c r="T27" s="211"/>
      <c r="U27" s="211"/>
      <c r="V27" s="211"/>
      <c r="W27" s="211"/>
      <c r="X27" s="211"/>
      <c r="Y27" s="211"/>
      <c r="Z27" s="211"/>
      <c r="AA27" s="211"/>
      <c r="AB27" s="211"/>
      <c r="AC27" s="211"/>
      <c r="AD27" s="211"/>
      <c r="AE27" s="211"/>
      <c r="AF27" s="211"/>
      <c r="AG27" s="211"/>
      <c r="AH27" s="211"/>
      <c r="AI27" s="211"/>
      <c r="AJ27" s="211"/>
      <c r="AK27" s="211"/>
      <c r="AL27" s="211"/>
      <c r="AM27" s="211"/>
      <c r="AN27" s="211"/>
      <c r="AO27" s="211"/>
      <c r="AP27" s="211"/>
      <c r="AQ27" s="211"/>
      <c r="AR27" s="211"/>
      <c r="AS27" s="211"/>
      <c r="AT27" s="211"/>
      <c r="AU27" s="211"/>
      <c r="AV27" s="211"/>
      <c r="AW27" s="211"/>
      <c r="AX27" s="211"/>
      <c r="AY27" s="211"/>
      <c r="AZ27" s="211"/>
      <c r="BA27" s="211"/>
      <c r="BB27" s="212"/>
    </row>
    <row r="28" spans="2:54" ht="18.75" customHeight="1">
      <c r="B28" s="210"/>
      <c r="C28" s="211"/>
      <c r="D28" s="211"/>
      <c r="E28" s="211"/>
      <c r="F28" s="211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211"/>
      <c r="R28" s="211"/>
      <c r="S28" s="211"/>
      <c r="T28" s="211"/>
      <c r="U28" s="211"/>
      <c r="V28" s="211"/>
      <c r="W28" s="211"/>
      <c r="X28" s="211"/>
      <c r="Y28" s="211"/>
      <c r="Z28" s="211"/>
      <c r="AA28" s="211"/>
      <c r="AB28" s="211"/>
      <c r="AC28" s="211"/>
      <c r="AD28" s="211"/>
      <c r="AE28" s="211"/>
      <c r="AF28" s="211"/>
      <c r="AG28" s="211"/>
      <c r="AH28" s="211"/>
      <c r="AI28" s="211"/>
      <c r="AJ28" s="211"/>
      <c r="AK28" s="211"/>
      <c r="AL28" s="211"/>
      <c r="AM28" s="211"/>
      <c r="AN28" s="211"/>
      <c r="AO28" s="211"/>
      <c r="AP28" s="211"/>
      <c r="AQ28" s="211"/>
      <c r="AR28" s="211"/>
      <c r="AS28" s="211"/>
      <c r="AT28" s="211"/>
      <c r="AU28" s="211"/>
      <c r="AV28" s="211"/>
      <c r="AW28" s="211"/>
      <c r="AX28" s="211"/>
      <c r="AY28" s="211"/>
      <c r="AZ28" s="211"/>
      <c r="BA28" s="211"/>
      <c r="BB28" s="212"/>
    </row>
    <row r="29" spans="2:54" ht="18.75" customHeight="1">
      <c r="B29" s="210"/>
      <c r="C29" s="211"/>
      <c r="D29" s="211"/>
      <c r="E29" s="211"/>
      <c r="F29" s="211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211"/>
      <c r="R29" s="211"/>
      <c r="S29" s="211"/>
      <c r="T29" s="211"/>
      <c r="U29" s="211"/>
      <c r="V29" s="211"/>
      <c r="W29" s="211"/>
      <c r="X29" s="211"/>
      <c r="Y29" s="211"/>
      <c r="Z29" s="211"/>
      <c r="AA29" s="211"/>
      <c r="AB29" s="211"/>
      <c r="AC29" s="211"/>
      <c r="AD29" s="211"/>
      <c r="AE29" s="211"/>
      <c r="AF29" s="211"/>
      <c r="AG29" s="211"/>
      <c r="AH29" s="211"/>
      <c r="AI29" s="211"/>
      <c r="AJ29" s="211"/>
      <c r="AK29" s="211"/>
      <c r="AL29" s="211"/>
      <c r="AM29" s="211"/>
      <c r="AN29" s="211"/>
      <c r="AO29" s="211"/>
      <c r="AP29" s="211"/>
      <c r="AQ29" s="211"/>
      <c r="AR29" s="211"/>
      <c r="AS29" s="211"/>
      <c r="AT29" s="211"/>
      <c r="AU29" s="211"/>
      <c r="AV29" s="211"/>
      <c r="AW29" s="211"/>
      <c r="AX29" s="211"/>
      <c r="AY29" s="211"/>
      <c r="AZ29" s="211"/>
      <c r="BA29" s="211"/>
      <c r="BB29" s="212"/>
    </row>
    <row r="30" spans="2:54" ht="18.75" customHeight="1">
      <c r="B30" s="210"/>
      <c r="C30" s="211"/>
      <c r="D30" s="211"/>
      <c r="E30" s="211"/>
      <c r="F30" s="211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211"/>
      <c r="R30" s="211"/>
      <c r="S30" s="211"/>
      <c r="T30" s="211"/>
      <c r="U30" s="211"/>
      <c r="V30" s="211"/>
      <c r="W30" s="211"/>
      <c r="X30" s="211"/>
      <c r="Y30" s="211"/>
      <c r="Z30" s="211"/>
      <c r="AA30" s="211"/>
      <c r="AB30" s="211"/>
      <c r="AC30" s="211"/>
      <c r="AD30" s="211"/>
      <c r="AE30" s="211"/>
      <c r="AF30" s="211"/>
      <c r="AG30" s="211"/>
      <c r="AH30" s="211"/>
      <c r="AI30" s="211"/>
      <c r="AJ30" s="211"/>
      <c r="AK30" s="211"/>
      <c r="AL30" s="211"/>
      <c r="AM30" s="211"/>
      <c r="AN30" s="211"/>
      <c r="AO30" s="211"/>
      <c r="AP30" s="211"/>
      <c r="AQ30" s="211"/>
      <c r="AR30" s="211"/>
      <c r="AS30" s="211"/>
      <c r="AT30" s="211"/>
      <c r="AU30" s="211"/>
      <c r="AV30" s="211"/>
      <c r="AW30" s="211"/>
      <c r="AX30" s="211"/>
      <c r="AY30" s="211"/>
      <c r="AZ30" s="211"/>
      <c r="BA30" s="211"/>
      <c r="BB30" s="212"/>
    </row>
    <row r="31" spans="2:54" ht="18.75" customHeight="1">
      <c r="B31" s="210"/>
      <c r="C31" s="211"/>
      <c r="D31" s="211"/>
      <c r="E31" s="211"/>
      <c r="F31" s="211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211"/>
      <c r="R31" s="211"/>
      <c r="S31" s="211"/>
      <c r="T31" s="211"/>
      <c r="U31" s="211"/>
      <c r="V31" s="211"/>
      <c r="W31" s="211"/>
      <c r="X31" s="211"/>
      <c r="Y31" s="211"/>
      <c r="Z31" s="211"/>
      <c r="AA31" s="211"/>
      <c r="AB31" s="211"/>
      <c r="AC31" s="211"/>
      <c r="AD31" s="211"/>
      <c r="AE31" s="211"/>
      <c r="AF31" s="211"/>
      <c r="AG31" s="211"/>
      <c r="AH31" s="211"/>
      <c r="AI31" s="211"/>
      <c r="AJ31" s="211"/>
      <c r="AK31" s="211"/>
      <c r="AL31" s="211"/>
      <c r="AM31" s="211"/>
      <c r="AN31" s="211"/>
      <c r="AO31" s="211"/>
      <c r="AP31" s="211"/>
      <c r="AQ31" s="211"/>
      <c r="AR31" s="211"/>
      <c r="AS31" s="211"/>
      <c r="AT31" s="211"/>
      <c r="AU31" s="211"/>
      <c r="AV31" s="211"/>
      <c r="AW31" s="211"/>
      <c r="AX31" s="211"/>
      <c r="AY31" s="211"/>
      <c r="AZ31" s="211"/>
      <c r="BA31" s="211"/>
      <c r="BB31" s="212"/>
    </row>
    <row r="32" spans="2:54" ht="18.75" customHeight="1">
      <c r="B32" s="210"/>
      <c r="C32" s="211"/>
      <c r="D32" s="211"/>
      <c r="E32" s="211"/>
      <c r="F32" s="211"/>
      <c r="G32" s="211"/>
      <c r="H32" s="211"/>
      <c r="I32" s="211"/>
      <c r="J32" s="211"/>
      <c r="K32" s="211"/>
      <c r="L32" s="211"/>
      <c r="M32" s="211"/>
      <c r="N32" s="211"/>
      <c r="O32" s="211"/>
      <c r="P32" s="211"/>
      <c r="Q32" s="211"/>
      <c r="R32" s="211"/>
      <c r="S32" s="211"/>
      <c r="T32" s="211"/>
      <c r="U32" s="211"/>
      <c r="V32" s="211"/>
      <c r="W32" s="211"/>
      <c r="X32" s="211"/>
      <c r="Y32" s="211"/>
      <c r="Z32" s="211"/>
      <c r="AA32" s="211"/>
      <c r="AB32" s="211"/>
      <c r="AC32" s="211"/>
      <c r="AD32" s="211"/>
      <c r="AE32" s="211"/>
      <c r="AF32" s="211"/>
      <c r="AG32" s="211"/>
      <c r="AH32" s="211"/>
      <c r="AI32" s="211"/>
      <c r="AJ32" s="211"/>
      <c r="AK32" s="211"/>
      <c r="AL32" s="211"/>
      <c r="AM32" s="211"/>
      <c r="AN32" s="211"/>
      <c r="AO32" s="211"/>
      <c r="AP32" s="211"/>
      <c r="AQ32" s="211"/>
      <c r="AR32" s="211"/>
      <c r="AS32" s="211"/>
      <c r="AT32" s="211"/>
      <c r="AU32" s="211"/>
      <c r="AV32" s="211"/>
      <c r="AW32" s="211"/>
      <c r="AX32" s="211"/>
      <c r="AY32" s="211"/>
      <c r="AZ32" s="211"/>
      <c r="BA32" s="211"/>
      <c r="BB32" s="212"/>
    </row>
    <row r="33" spans="2:54" ht="18.75" customHeight="1">
      <c r="B33" s="210"/>
      <c r="C33" s="211"/>
      <c r="D33" s="211"/>
      <c r="E33" s="211"/>
      <c r="F33" s="211"/>
      <c r="G33" s="211"/>
      <c r="H33" s="211"/>
      <c r="I33" s="211"/>
      <c r="J33" s="211"/>
      <c r="K33" s="211"/>
      <c r="L33" s="211"/>
      <c r="M33" s="211"/>
      <c r="N33" s="211"/>
      <c r="O33" s="211"/>
      <c r="P33" s="211"/>
      <c r="Q33" s="211"/>
      <c r="R33" s="211"/>
      <c r="S33" s="211"/>
      <c r="T33" s="211"/>
      <c r="U33" s="211"/>
      <c r="V33" s="211"/>
      <c r="W33" s="211"/>
      <c r="X33" s="211"/>
      <c r="Y33" s="211"/>
      <c r="Z33" s="211"/>
      <c r="AA33" s="211"/>
      <c r="AB33" s="211"/>
      <c r="AC33" s="211"/>
      <c r="AD33" s="211"/>
      <c r="AE33" s="211"/>
      <c r="AF33" s="211"/>
      <c r="AG33" s="211"/>
      <c r="AH33" s="211"/>
      <c r="AI33" s="211"/>
      <c r="AJ33" s="211"/>
      <c r="AK33" s="211"/>
      <c r="AL33" s="211"/>
      <c r="AM33" s="211"/>
      <c r="AN33" s="211"/>
      <c r="AO33" s="211"/>
      <c r="AP33" s="211"/>
      <c r="AQ33" s="211"/>
      <c r="AR33" s="211"/>
      <c r="AS33" s="211"/>
      <c r="AT33" s="211"/>
      <c r="AU33" s="211"/>
      <c r="AV33" s="211"/>
      <c r="AW33" s="211"/>
      <c r="AX33" s="211"/>
      <c r="AY33" s="211"/>
      <c r="AZ33" s="211"/>
      <c r="BA33" s="211"/>
      <c r="BB33" s="212"/>
    </row>
    <row r="34" spans="2:54" ht="18.75" customHeight="1">
      <c r="B34" s="210"/>
      <c r="C34" s="211"/>
      <c r="D34" s="211"/>
      <c r="E34" s="211"/>
      <c r="F34" s="211"/>
      <c r="G34" s="211"/>
      <c r="H34" s="211"/>
      <c r="I34" s="211"/>
      <c r="J34" s="211"/>
      <c r="K34" s="211"/>
      <c r="L34" s="211"/>
      <c r="M34" s="211"/>
      <c r="N34" s="211"/>
      <c r="O34" s="211"/>
      <c r="P34" s="211"/>
      <c r="Q34" s="211"/>
      <c r="R34" s="211"/>
      <c r="S34" s="211"/>
      <c r="T34" s="211"/>
      <c r="U34" s="211"/>
      <c r="V34" s="211"/>
      <c r="W34" s="211"/>
      <c r="X34" s="211"/>
      <c r="Y34" s="211"/>
      <c r="Z34" s="211"/>
      <c r="AA34" s="211"/>
      <c r="AB34" s="211"/>
      <c r="AC34" s="211"/>
      <c r="AD34" s="211"/>
      <c r="AE34" s="211"/>
      <c r="AF34" s="211"/>
      <c r="AG34" s="211"/>
      <c r="AH34" s="211"/>
      <c r="AI34" s="211"/>
      <c r="AJ34" s="211"/>
      <c r="AK34" s="211"/>
      <c r="AL34" s="211"/>
      <c r="AM34" s="211"/>
      <c r="AN34" s="211"/>
      <c r="AO34" s="211"/>
      <c r="AP34" s="211"/>
      <c r="AQ34" s="211"/>
      <c r="AR34" s="211"/>
      <c r="AS34" s="211"/>
      <c r="AT34" s="211"/>
      <c r="AU34" s="211"/>
      <c r="AV34" s="211"/>
      <c r="AW34" s="211"/>
      <c r="AX34" s="211"/>
      <c r="AY34" s="211"/>
      <c r="AZ34" s="211"/>
      <c r="BA34" s="211"/>
      <c r="BB34" s="212"/>
    </row>
    <row r="35" spans="2:54" ht="18.75" customHeight="1">
      <c r="B35" s="210"/>
      <c r="C35" s="211"/>
      <c r="D35" s="211"/>
      <c r="E35" s="211"/>
      <c r="F35" s="211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Y35" s="211"/>
      <c r="Z35" s="211"/>
      <c r="AA35" s="211"/>
      <c r="AB35" s="211"/>
      <c r="AC35" s="211"/>
      <c r="AD35" s="211"/>
      <c r="AE35" s="211"/>
      <c r="AF35" s="211"/>
      <c r="AG35" s="211"/>
      <c r="AH35" s="211"/>
      <c r="AI35" s="211"/>
      <c r="AJ35" s="211"/>
      <c r="AK35" s="211"/>
      <c r="AL35" s="211"/>
      <c r="AM35" s="211"/>
      <c r="AN35" s="211"/>
      <c r="AO35" s="211"/>
      <c r="AP35" s="211"/>
      <c r="AQ35" s="211"/>
      <c r="AR35" s="211"/>
      <c r="AS35" s="211"/>
      <c r="AT35" s="211"/>
      <c r="AU35" s="211"/>
      <c r="AV35" s="211"/>
      <c r="AW35" s="211"/>
      <c r="AX35" s="211"/>
      <c r="AY35" s="211"/>
      <c r="AZ35" s="211"/>
      <c r="BA35" s="211"/>
      <c r="BB35" s="212"/>
    </row>
    <row r="36" spans="2:54" ht="18.75" customHeight="1">
      <c r="B36" s="210"/>
      <c r="C36" s="211"/>
      <c r="D36" s="211"/>
      <c r="E36" s="211"/>
      <c r="F36" s="211"/>
      <c r="G36" s="211"/>
      <c r="H36" s="211"/>
      <c r="I36" s="211"/>
      <c r="J36" s="211"/>
      <c r="K36" s="211"/>
      <c r="L36" s="211"/>
      <c r="M36" s="211"/>
      <c r="N36" s="211"/>
      <c r="O36" s="211"/>
      <c r="P36" s="211"/>
      <c r="Q36" s="211"/>
      <c r="R36" s="211"/>
      <c r="S36" s="211"/>
      <c r="T36" s="211"/>
      <c r="U36" s="211"/>
      <c r="V36" s="211"/>
      <c r="W36" s="211"/>
      <c r="X36" s="211"/>
      <c r="Y36" s="211"/>
      <c r="Z36" s="211"/>
      <c r="AA36" s="211"/>
      <c r="AB36" s="211"/>
      <c r="AC36" s="211"/>
      <c r="AD36" s="211"/>
      <c r="AE36" s="211"/>
      <c r="AF36" s="211"/>
      <c r="AG36" s="211"/>
      <c r="AH36" s="211"/>
      <c r="AI36" s="211"/>
      <c r="AJ36" s="211"/>
      <c r="AK36" s="211"/>
      <c r="AL36" s="211"/>
      <c r="AM36" s="211"/>
      <c r="AN36" s="211"/>
      <c r="AO36" s="211"/>
      <c r="AP36" s="211"/>
      <c r="AQ36" s="211"/>
      <c r="AR36" s="211"/>
      <c r="AS36" s="211"/>
      <c r="AT36" s="211"/>
      <c r="AU36" s="211"/>
      <c r="AV36" s="211"/>
      <c r="AW36" s="211"/>
      <c r="AX36" s="211"/>
      <c r="AY36" s="211"/>
      <c r="AZ36" s="211"/>
      <c r="BA36" s="211"/>
      <c r="BB36" s="212"/>
    </row>
    <row r="37" spans="2:54" ht="18.75" customHeight="1">
      <c r="B37" s="210"/>
      <c r="C37" s="211"/>
      <c r="D37" s="211"/>
      <c r="E37" s="211"/>
      <c r="F37" s="211"/>
      <c r="G37" s="211"/>
      <c r="H37" s="211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Y37" s="211"/>
      <c r="Z37" s="211"/>
      <c r="AA37" s="211"/>
      <c r="AB37" s="211"/>
      <c r="AC37" s="211"/>
      <c r="AD37" s="211"/>
      <c r="AE37" s="211"/>
      <c r="AF37" s="211"/>
      <c r="AG37" s="211"/>
      <c r="AH37" s="211"/>
      <c r="AI37" s="211"/>
      <c r="AJ37" s="211"/>
      <c r="AK37" s="211"/>
      <c r="AL37" s="211"/>
      <c r="AM37" s="211"/>
      <c r="AN37" s="211"/>
      <c r="AO37" s="211"/>
      <c r="AP37" s="211"/>
      <c r="AQ37" s="211"/>
      <c r="AR37" s="211"/>
      <c r="AS37" s="211"/>
      <c r="AT37" s="211"/>
      <c r="AU37" s="211"/>
      <c r="AV37" s="211"/>
      <c r="AW37" s="211"/>
      <c r="AX37" s="211"/>
      <c r="AY37" s="211"/>
      <c r="AZ37" s="211"/>
      <c r="BA37" s="211"/>
      <c r="BB37" s="212"/>
    </row>
    <row r="38" spans="2:54" ht="18.75" customHeight="1">
      <c r="B38" s="210"/>
      <c r="C38" s="211"/>
      <c r="D38" s="211"/>
      <c r="E38" s="211"/>
      <c r="F38" s="211"/>
      <c r="G38" s="211"/>
      <c r="H38" s="211"/>
      <c r="I38" s="211"/>
      <c r="J38" s="211"/>
      <c r="K38" s="211"/>
      <c r="L38" s="211"/>
      <c r="M38" s="211"/>
      <c r="N38" s="211"/>
      <c r="O38" s="211"/>
      <c r="P38" s="211"/>
      <c r="Q38" s="211"/>
      <c r="R38" s="211"/>
      <c r="S38" s="211"/>
      <c r="T38" s="211"/>
      <c r="U38" s="211"/>
      <c r="V38" s="211"/>
      <c r="W38" s="211"/>
      <c r="X38" s="211"/>
      <c r="Y38" s="211"/>
      <c r="Z38" s="211"/>
      <c r="AA38" s="211"/>
      <c r="AB38" s="211"/>
      <c r="AC38" s="211"/>
      <c r="AD38" s="211"/>
      <c r="AE38" s="211"/>
      <c r="AF38" s="211"/>
      <c r="AG38" s="211"/>
      <c r="AH38" s="211"/>
      <c r="AI38" s="211"/>
      <c r="AJ38" s="211"/>
      <c r="AK38" s="211"/>
      <c r="AL38" s="211"/>
      <c r="AM38" s="211"/>
      <c r="AN38" s="211"/>
      <c r="AO38" s="211"/>
      <c r="AP38" s="211"/>
      <c r="AQ38" s="211"/>
      <c r="AR38" s="211"/>
      <c r="AS38" s="211"/>
      <c r="AT38" s="211"/>
      <c r="AU38" s="211"/>
      <c r="AV38" s="211"/>
      <c r="AW38" s="211"/>
      <c r="AX38" s="211"/>
      <c r="AY38" s="211"/>
      <c r="AZ38" s="211"/>
      <c r="BA38" s="211"/>
      <c r="BB38" s="212"/>
    </row>
    <row r="39" spans="2:54" ht="18.75" customHeight="1">
      <c r="B39" s="210"/>
      <c r="C39" s="211"/>
      <c r="D39" s="211"/>
      <c r="E39" s="211"/>
      <c r="F39" s="211"/>
      <c r="G39" s="211"/>
      <c r="H39" s="211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Y39" s="211"/>
      <c r="Z39" s="211"/>
      <c r="AA39" s="211"/>
      <c r="AB39" s="211"/>
      <c r="AC39" s="211"/>
      <c r="AD39" s="211"/>
      <c r="AE39" s="211"/>
      <c r="AF39" s="211"/>
      <c r="AG39" s="211"/>
      <c r="AH39" s="211"/>
      <c r="AI39" s="211"/>
      <c r="AJ39" s="211"/>
      <c r="AK39" s="211"/>
      <c r="AL39" s="211"/>
      <c r="AM39" s="211"/>
      <c r="AN39" s="211"/>
      <c r="AO39" s="211"/>
      <c r="AP39" s="211"/>
      <c r="AQ39" s="211"/>
      <c r="AR39" s="211"/>
      <c r="AS39" s="211"/>
      <c r="AT39" s="211"/>
      <c r="AU39" s="211"/>
      <c r="AV39" s="211"/>
      <c r="AW39" s="211"/>
      <c r="AX39" s="211"/>
      <c r="AY39" s="211"/>
      <c r="AZ39" s="211"/>
      <c r="BA39" s="211"/>
      <c r="BB39" s="212"/>
    </row>
    <row r="40" spans="2:54" ht="18.75" customHeight="1">
      <c r="B40" s="210"/>
      <c r="C40" s="211"/>
      <c r="D40" s="211"/>
      <c r="E40" s="211"/>
      <c r="F40" s="211"/>
      <c r="G40" s="211"/>
      <c r="H40" s="211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Y40" s="211"/>
      <c r="Z40" s="211"/>
      <c r="AA40" s="211"/>
      <c r="AB40" s="211"/>
      <c r="AC40" s="211"/>
      <c r="AD40" s="211"/>
      <c r="AE40" s="211"/>
      <c r="AF40" s="211"/>
      <c r="AG40" s="211"/>
      <c r="AH40" s="211"/>
      <c r="AI40" s="211"/>
      <c r="AJ40" s="211"/>
      <c r="AK40" s="211"/>
      <c r="AL40" s="211"/>
      <c r="AM40" s="211"/>
      <c r="AN40" s="211"/>
      <c r="AO40" s="211"/>
      <c r="AP40" s="211"/>
      <c r="AQ40" s="211"/>
      <c r="AR40" s="211"/>
      <c r="AS40" s="211"/>
      <c r="AT40" s="211"/>
      <c r="AU40" s="211"/>
      <c r="AV40" s="211"/>
      <c r="AW40" s="211"/>
      <c r="AX40" s="211"/>
      <c r="AY40" s="211"/>
      <c r="AZ40" s="211"/>
      <c r="BA40" s="211"/>
      <c r="BB40" s="212"/>
    </row>
    <row r="41" spans="2:54" ht="18.75" customHeight="1">
      <c r="B41" s="210"/>
      <c r="C41" s="211"/>
      <c r="D41" s="211"/>
      <c r="E41" s="211"/>
      <c r="F41" s="211"/>
      <c r="G41" s="211"/>
      <c r="H41" s="211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Y41" s="211"/>
      <c r="Z41" s="211"/>
      <c r="AA41" s="211"/>
      <c r="AB41" s="211"/>
      <c r="AC41" s="211"/>
      <c r="AD41" s="211"/>
      <c r="AE41" s="211"/>
      <c r="AF41" s="211"/>
      <c r="AG41" s="211"/>
      <c r="AH41" s="211"/>
      <c r="AI41" s="211"/>
      <c r="AJ41" s="211"/>
      <c r="AK41" s="211"/>
      <c r="AL41" s="211"/>
      <c r="AM41" s="211"/>
      <c r="AN41" s="211"/>
      <c r="AO41" s="211"/>
      <c r="AP41" s="211"/>
      <c r="AQ41" s="211"/>
      <c r="AR41" s="211"/>
      <c r="AS41" s="211"/>
      <c r="AT41" s="211"/>
      <c r="AU41" s="211"/>
      <c r="AV41" s="211"/>
      <c r="AW41" s="211"/>
      <c r="AX41" s="211"/>
      <c r="AY41" s="211"/>
      <c r="AZ41" s="211"/>
      <c r="BA41" s="211"/>
      <c r="BB41" s="212"/>
    </row>
    <row r="42" spans="2:54" ht="18.75" customHeight="1">
      <c r="B42" s="210"/>
      <c r="C42" s="211"/>
      <c r="D42" s="211"/>
      <c r="E42" s="211"/>
      <c r="F42" s="211"/>
      <c r="G42" s="211"/>
      <c r="H42" s="211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Y42" s="211"/>
      <c r="Z42" s="211"/>
      <c r="AA42" s="211"/>
      <c r="AB42" s="211"/>
      <c r="AC42" s="211"/>
      <c r="AD42" s="211"/>
      <c r="AE42" s="211"/>
      <c r="AF42" s="211"/>
      <c r="AG42" s="211"/>
      <c r="AH42" s="211"/>
      <c r="AI42" s="211"/>
      <c r="AJ42" s="211"/>
      <c r="AK42" s="211"/>
      <c r="AL42" s="211"/>
      <c r="AM42" s="211"/>
      <c r="AN42" s="211"/>
      <c r="AO42" s="211"/>
      <c r="AP42" s="211"/>
      <c r="AQ42" s="211"/>
      <c r="AR42" s="211"/>
      <c r="AS42" s="211"/>
      <c r="AT42" s="211"/>
      <c r="AU42" s="211"/>
      <c r="AV42" s="211"/>
      <c r="AW42" s="211"/>
      <c r="AX42" s="211"/>
      <c r="AY42" s="211"/>
      <c r="AZ42" s="211"/>
      <c r="BA42" s="211"/>
      <c r="BB42" s="212"/>
    </row>
    <row r="43" spans="2:54" ht="18.75" customHeight="1">
      <c r="B43" s="210"/>
      <c r="C43" s="211"/>
      <c r="D43" s="211"/>
      <c r="E43" s="211"/>
      <c r="F43" s="211"/>
      <c r="G43" s="211"/>
      <c r="H43" s="211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Y43" s="211"/>
      <c r="Z43" s="211"/>
      <c r="AA43" s="211"/>
      <c r="AB43" s="211"/>
      <c r="AC43" s="211"/>
      <c r="AD43" s="211"/>
      <c r="AE43" s="211"/>
      <c r="AF43" s="211"/>
      <c r="AG43" s="211"/>
      <c r="AH43" s="211"/>
      <c r="AI43" s="211"/>
      <c r="AJ43" s="211"/>
      <c r="AK43" s="211"/>
      <c r="AL43" s="211"/>
      <c r="AM43" s="211"/>
      <c r="AN43" s="211"/>
      <c r="AO43" s="211"/>
      <c r="AP43" s="211"/>
      <c r="AQ43" s="211"/>
      <c r="AR43" s="211"/>
      <c r="AS43" s="211"/>
      <c r="AT43" s="211"/>
      <c r="AU43" s="211"/>
      <c r="AV43" s="211"/>
      <c r="AW43" s="211"/>
      <c r="AX43" s="211"/>
      <c r="AY43" s="211"/>
      <c r="AZ43" s="211"/>
      <c r="BA43" s="211"/>
      <c r="BB43" s="212"/>
    </row>
    <row r="44" spans="2:54" ht="18.75" customHeight="1">
      <c r="B44" s="210"/>
      <c r="C44" s="211"/>
      <c r="D44" s="211"/>
      <c r="E44" s="211"/>
      <c r="F44" s="211"/>
      <c r="G44" s="211"/>
      <c r="H44" s="211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Y44" s="211"/>
      <c r="Z44" s="211"/>
      <c r="AA44" s="211"/>
      <c r="AB44" s="211"/>
      <c r="AC44" s="211"/>
      <c r="AD44" s="211"/>
      <c r="AE44" s="211"/>
      <c r="AF44" s="211"/>
      <c r="AG44" s="211"/>
      <c r="AH44" s="211"/>
      <c r="AI44" s="211"/>
      <c r="AJ44" s="211"/>
      <c r="AK44" s="211"/>
      <c r="AL44" s="211"/>
      <c r="AM44" s="211"/>
      <c r="AN44" s="211"/>
      <c r="AO44" s="211"/>
      <c r="AP44" s="211"/>
      <c r="AQ44" s="211"/>
      <c r="AR44" s="211"/>
      <c r="AS44" s="211"/>
      <c r="AT44" s="211"/>
      <c r="AU44" s="211"/>
      <c r="AV44" s="211"/>
      <c r="AW44" s="211"/>
      <c r="AX44" s="211"/>
      <c r="AY44" s="211"/>
      <c r="AZ44" s="211"/>
      <c r="BA44" s="211"/>
      <c r="BB44" s="212"/>
    </row>
    <row r="45" spans="2:54" ht="18.75" customHeight="1">
      <c r="B45" s="210"/>
      <c r="C45" s="211"/>
      <c r="D45" s="211"/>
      <c r="E45" s="211"/>
      <c r="F45" s="211"/>
      <c r="G45" s="211"/>
      <c r="H45" s="211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Y45" s="211"/>
      <c r="Z45" s="211"/>
      <c r="AA45" s="211"/>
      <c r="AB45" s="211"/>
      <c r="AC45" s="211"/>
      <c r="AD45" s="211"/>
      <c r="AE45" s="211"/>
      <c r="AF45" s="211"/>
      <c r="AG45" s="211"/>
      <c r="AH45" s="211"/>
      <c r="AI45" s="211"/>
      <c r="AJ45" s="211"/>
      <c r="AK45" s="211"/>
      <c r="AL45" s="211"/>
      <c r="AM45" s="211"/>
      <c r="AN45" s="211"/>
      <c r="AO45" s="211"/>
      <c r="AP45" s="211"/>
      <c r="AQ45" s="211"/>
      <c r="AR45" s="211"/>
      <c r="AS45" s="211"/>
      <c r="AT45" s="211"/>
      <c r="AU45" s="211"/>
      <c r="AV45" s="211"/>
      <c r="AW45" s="211"/>
      <c r="AX45" s="211"/>
      <c r="AY45" s="211"/>
      <c r="AZ45" s="211"/>
      <c r="BA45" s="211"/>
      <c r="BB45" s="212"/>
    </row>
    <row r="46" spans="2:54" ht="18.75" customHeight="1">
      <c r="B46" s="210"/>
      <c r="C46" s="211"/>
      <c r="D46" s="211"/>
      <c r="E46" s="211"/>
      <c r="F46" s="211"/>
      <c r="G46" s="211"/>
      <c r="H46" s="211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Y46" s="211"/>
      <c r="Z46" s="211"/>
      <c r="AA46" s="211"/>
      <c r="AB46" s="211"/>
      <c r="AC46" s="211"/>
      <c r="AD46" s="211"/>
      <c r="AE46" s="211"/>
      <c r="AF46" s="211"/>
      <c r="AG46" s="211"/>
      <c r="AH46" s="211"/>
      <c r="AI46" s="211"/>
      <c r="AJ46" s="211"/>
      <c r="AK46" s="211"/>
      <c r="AL46" s="211"/>
      <c r="AM46" s="211"/>
      <c r="AN46" s="211"/>
      <c r="AO46" s="211"/>
      <c r="AP46" s="211"/>
      <c r="AQ46" s="211"/>
      <c r="AR46" s="211"/>
      <c r="AS46" s="211"/>
      <c r="AT46" s="211"/>
      <c r="AU46" s="211"/>
      <c r="AV46" s="211"/>
      <c r="AW46" s="211"/>
      <c r="AX46" s="211"/>
      <c r="AY46" s="211"/>
      <c r="AZ46" s="211"/>
      <c r="BA46" s="211"/>
      <c r="BB46" s="212"/>
    </row>
    <row r="47" spans="2:54" ht="18.75" customHeight="1">
      <c r="B47" s="210"/>
      <c r="C47" s="211"/>
      <c r="D47" s="211"/>
      <c r="E47" s="211"/>
      <c r="F47" s="211"/>
      <c r="G47" s="211"/>
      <c r="H47" s="211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Y47" s="211"/>
      <c r="Z47" s="211"/>
      <c r="AA47" s="211"/>
      <c r="AB47" s="211"/>
      <c r="AC47" s="211"/>
      <c r="AD47" s="211"/>
      <c r="AE47" s="211"/>
      <c r="AF47" s="211"/>
      <c r="AG47" s="211"/>
      <c r="AH47" s="211"/>
      <c r="AI47" s="211"/>
      <c r="AJ47" s="211"/>
      <c r="AK47" s="211"/>
      <c r="AL47" s="211"/>
      <c r="AM47" s="211"/>
      <c r="AN47" s="211"/>
      <c r="AO47" s="211"/>
      <c r="AP47" s="211"/>
      <c r="AQ47" s="211"/>
      <c r="AR47" s="211"/>
      <c r="AS47" s="211"/>
      <c r="AT47" s="211"/>
      <c r="AU47" s="211"/>
      <c r="AV47" s="211"/>
      <c r="AW47" s="211"/>
      <c r="AX47" s="211"/>
      <c r="AY47" s="211"/>
      <c r="AZ47" s="211"/>
      <c r="BA47" s="211"/>
      <c r="BB47" s="212"/>
    </row>
    <row r="48" spans="2:54" ht="18.75" customHeight="1">
      <c r="B48" s="210"/>
      <c r="C48" s="211"/>
      <c r="D48" s="211"/>
      <c r="E48" s="211"/>
      <c r="F48" s="211"/>
      <c r="G48" s="211"/>
      <c r="H48" s="211"/>
      <c r="I48" s="211"/>
      <c r="J48" s="211"/>
      <c r="K48" s="211"/>
      <c r="L48" s="211"/>
      <c r="M48" s="211"/>
      <c r="N48" s="211"/>
      <c r="O48" s="211"/>
      <c r="P48" s="211"/>
      <c r="Q48" s="211"/>
      <c r="R48" s="211"/>
      <c r="S48" s="211"/>
      <c r="T48" s="211"/>
      <c r="U48" s="211"/>
      <c r="V48" s="211"/>
      <c r="W48" s="211"/>
      <c r="X48" s="211"/>
      <c r="Y48" s="211"/>
      <c r="Z48" s="211"/>
      <c r="AA48" s="211"/>
      <c r="AB48" s="211"/>
      <c r="AC48" s="211"/>
      <c r="AD48" s="211"/>
      <c r="AE48" s="211"/>
      <c r="AF48" s="211"/>
      <c r="AG48" s="211"/>
      <c r="AH48" s="211"/>
      <c r="AI48" s="211"/>
      <c r="AJ48" s="211"/>
      <c r="AK48" s="211"/>
      <c r="AL48" s="211"/>
      <c r="AM48" s="211"/>
      <c r="AN48" s="211"/>
      <c r="AO48" s="211"/>
      <c r="AP48" s="211"/>
      <c r="AQ48" s="211"/>
      <c r="AR48" s="211"/>
      <c r="AS48" s="211"/>
      <c r="AT48" s="211"/>
      <c r="AU48" s="211"/>
      <c r="AV48" s="211"/>
      <c r="AW48" s="211"/>
      <c r="AX48" s="211"/>
      <c r="AY48" s="211"/>
      <c r="AZ48" s="211"/>
      <c r="BA48" s="211"/>
      <c r="BB48" s="212"/>
    </row>
    <row r="49" spans="2:54" ht="18.75" customHeight="1" thickBot="1">
      <c r="B49" s="213"/>
      <c r="C49" s="214"/>
      <c r="D49" s="214"/>
      <c r="E49" s="214"/>
      <c r="F49" s="214"/>
      <c r="G49" s="214"/>
      <c r="H49" s="214"/>
      <c r="I49" s="214"/>
      <c r="J49" s="214"/>
      <c r="K49" s="214"/>
      <c r="L49" s="214"/>
      <c r="M49" s="214"/>
      <c r="N49" s="214"/>
      <c r="O49" s="214"/>
      <c r="P49" s="214"/>
      <c r="Q49" s="214"/>
      <c r="R49" s="214"/>
      <c r="S49" s="214"/>
      <c r="T49" s="214"/>
      <c r="U49" s="214"/>
      <c r="V49" s="214"/>
      <c r="W49" s="214"/>
      <c r="X49" s="214"/>
      <c r="Y49" s="214"/>
      <c r="Z49" s="214"/>
      <c r="AA49" s="214"/>
      <c r="AB49" s="214"/>
      <c r="AC49" s="214"/>
      <c r="AD49" s="214"/>
      <c r="AE49" s="214"/>
      <c r="AF49" s="214"/>
      <c r="AG49" s="214"/>
      <c r="AH49" s="214"/>
      <c r="AI49" s="214"/>
      <c r="AJ49" s="214"/>
      <c r="AK49" s="214"/>
      <c r="AL49" s="214"/>
      <c r="AM49" s="214"/>
      <c r="AN49" s="214"/>
      <c r="AO49" s="214"/>
      <c r="AP49" s="214"/>
      <c r="AQ49" s="214"/>
      <c r="AR49" s="214"/>
      <c r="AS49" s="214"/>
      <c r="AT49" s="214"/>
      <c r="AU49" s="214"/>
      <c r="AV49" s="214"/>
      <c r="AW49" s="214"/>
      <c r="AX49" s="214"/>
      <c r="AY49" s="214"/>
      <c r="AZ49" s="214"/>
      <c r="BA49" s="214"/>
      <c r="BB49" s="215"/>
    </row>
    <row r="50" spans="2:54" ht="7.9" customHeight="1"/>
    <row r="51" spans="2:54" ht="7.9" customHeight="1" thickBot="1"/>
    <row r="52" spans="2:54" ht="16.5" thickBot="1">
      <c r="B52" s="53" t="s">
        <v>16</v>
      </c>
      <c r="C52" s="57" t="s">
        <v>17</v>
      </c>
      <c r="D52" s="54"/>
      <c r="E52" s="54"/>
      <c r="F52" s="54"/>
      <c r="G52" s="54"/>
      <c r="H52" s="58"/>
      <c r="I52" s="57" t="s">
        <v>18</v>
      </c>
      <c r="J52" s="54"/>
      <c r="K52" s="54"/>
      <c r="L52" s="58"/>
      <c r="M52" s="129" t="s">
        <v>19</v>
      </c>
      <c r="N52" s="130"/>
      <c r="O52" s="129" t="s">
        <v>20</v>
      </c>
      <c r="P52" s="130"/>
      <c r="Q52" s="54" t="s">
        <v>21</v>
      </c>
      <c r="R52" s="54"/>
      <c r="S52" s="54"/>
      <c r="T52" s="54"/>
      <c r="U52" s="54"/>
      <c r="V52" s="54"/>
      <c r="W52" s="58"/>
      <c r="X52" s="57" t="s">
        <v>22</v>
      </c>
      <c r="Y52" s="54"/>
      <c r="Z52" s="54"/>
      <c r="AA52" s="54"/>
      <c r="AB52" s="54"/>
      <c r="AC52" s="54"/>
      <c r="AD52" s="58"/>
      <c r="AE52" s="57" t="s">
        <v>34</v>
      </c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7" t="s">
        <v>139</v>
      </c>
      <c r="AW52" s="54"/>
      <c r="AX52" s="54"/>
      <c r="AY52" s="54"/>
      <c r="AZ52" s="54"/>
      <c r="BA52" s="54"/>
      <c r="BB52" s="56"/>
    </row>
    <row r="53" spans="2:54" s="87" customFormat="1">
      <c r="B53" s="86">
        <f t="shared" ref="B53:B54" si="0">ROW()-53</f>
        <v>0</v>
      </c>
      <c r="C53" s="77" t="s">
        <v>114</v>
      </c>
      <c r="D53" s="78"/>
      <c r="E53" s="78"/>
      <c r="F53" s="78"/>
      <c r="G53" s="78"/>
      <c r="H53" s="83"/>
      <c r="I53" s="82" t="s">
        <v>27</v>
      </c>
      <c r="J53" s="78"/>
      <c r="K53" s="78"/>
      <c r="L53" s="83"/>
      <c r="M53" s="205" t="s">
        <v>28</v>
      </c>
      <c r="N53" s="206"/>
      <c r="O53" s="205" t="s">
        <v>28</v>
      </c>
      <c r="P53" s="206"/>
      <c r="Q53" s="78"/>
      <c r="R53" s="78"/>
      <c r="S53" s="78"/>
      <c r="T53" s="78"/>
      <c r="U53" s="78"/>
      <c r="V53" s="78"/>
      <c r="W53" s="83"/>
      <c r="X53" s="82"/>
      <c r="Y53" s="78"/>
      <c r="Z53" s="78"/>
      <c r="AA53" s="78"/>
      <c r="AB53" s="78"/>
      <c r="AC53" s="78"/>
      <c r="AD53" s="83"/>
      <c r="AE53" s="82" t="s">
        <v>70</v>
      </c>
      <c r="AF53" s="78"/>
      <c r="AG53" s="78"/>
      <c r="AH53" s="78"/>
      <c r="AI53" s="78"/>
      <c r="AJ53" s="88"/>
      <c r="AK53" s="88"/>
      <c r="AL53" s="88"/>
      <c r="AM53" s="88"/>
      <c r="AN53" s="88"/>
      <c r="AO53" s="88"/>
      <c r="AP53" s="88"/>
      <c r="AQ53" s="88"/>
      <c r="AR53" s="88"/>
      <c r="AS53" s="88"/>
      <c r="AT53" s="88"/>
      <c r="AU53" s="88"/>
      <c r="AV53" s="68" t="s">
        <v>147</v>
      </c>
      <c r="AW53" s="46"/>
      <c r="AX53" s="46"/>
      <c r="AY53" s="46"/>
      <c r="AZ53" s="46"/>
      <c r="BA53" s="46"/>
      <c r="BB53" s="47"/>
    </row>
    <row r="54" spans="2:54" s="87" customFormat="1" ht="16.5" customHeight="1" thickBot="1">
      <c r="B54" s="74">
        <f t="shared" si="0"/>
        <v>1</v>
      </c>
      <c r="C54" s="94" t="s">
        <v>115</v>
      </c>
      <c r="D54" s="95"/>
      <c r="E54" s="95"/>
      <c r="F54" s="95"/>
      <c r="G54" s="95"/>
      <c r="H54" s="96"/>
      <c r="I54" s="94" t="s">
        <v>27</v>
      </c>
      <c r="J54" s="95"/>
      <c r="K54" s="95"/>
      <c r="L54" s="96"/>
      <c r="M54" s="202" t="s">
        <v>28</v>
      </c>
      <c r="N54" s="203"/>
      <c r="O54" s="202" t="s">
        <v>28</v>
      </c>
      <c r="P54" s="203"/>
      <c r="Q54" s="95"/>
      <c r="R54" s="95"/>
      <c r="S54" s="95"/>
      <c r="T54" s="95"/>
      <c r="U54" s="95"/>
      <c r="V54" s="95"/>
      <c r="W54" s="96"/>
      <c r="X54" s="94"/>
      <c r="Y54" s="95"/>
      <c r="Z54" s="95"/>
      <c r="AA54" s="95"/>
      <c r="AB54" s="95"/>
      <c r="AC54" s="95"/>
      <c r="AD54" s="96"/>
      <c r="AE54" s="94" t="s">
        <v>61</v>
      </c>
      <c r="AF54" s="65"/>
      <c r="AG54" s="65"/>
      <c r="AH54" s="65"/>
      <c r="AI54" s="65"/>
      <c r="AJ54" s="65"/>
      <c r="AK54" s="65"/>
      <c r="AL54" s="65"/>
      <c r="AM54" s="65"/>
      <c r="AN54" s="65"/>
      <c r="AO54" s="65"/>
      <c r="AP54" s="65"/>
      <c r="AQ54" s="65"/>
      <c r="AR54" s="65"/>
      <c r="AS54" s="65"/>
      <c r="AT54" s="65"/>
      <c r="AU54" s="65"/>
      <c r="AV54" s="260" t="s">
        <v>147</v>
      </c>
      <c r="AW54" s="235"/>
      <c r="AX54" s="235"/>
      <c r="AY54" s="235"/>
      <c r="AZ54" s="235"/>
      <c r="BA54" s="235"/>
      <c r="BB54" s="236"/>
    </row>
    <row r="55" spans="2:54" ht="7.9" customHeight="1"/>
  </sheetData>
  <mergeCells count="33">
    <mergeCell ref="AV54:BB54"/>
    <mergeCell ref="M53:N53"/>
    <mergeCell ref="O53:P53"/>
    <mergeCell ref="M54:N54"/>
    <mergeCell ref="O54:P54"/>
    <mergeCell ref="AL4:AU4"/>
    <mergeCell ref="AV4:AX4"/>
    <mergeCell ref="AY4:BA4"/>
    <mergeCell ref="B6:BB49"/>
    <mergeCell ref="M52:N52"/>
    <mergeCell ref="O52:P52"/>
    <mergeCell ref="C4:E4"/>
    <mergeCell ref="F4:G4"/>
    <mergeCell ref="H4:S4"/>
    <mergeCell ref="T4:U4"/>
    <mergeCell ref="V4:AE4"/>
    <mergeCell ref="AI4:AJ4"/>
    <mergeCell ref="AP2:AS2"/>
    <mergeCell ref="AT2:AX2"/>
    <mergeCell ref="AY2:BB2"/>
    <mergeCell ref="M3:Q3"/>
    <mergeCell ref="S3:W3"/>
    <mergeCell ref="Y3:AC3"/>
    <mergeCell ref="AL3:AO3"/>
    <mergeCell ref="AP3:AS3"/>
    <mergeCell ref="AT3:AX3"/>
    <mergeCell ref="AY3:BB3"/>
    <mergeCell ref="AL2:AO2"/>
    <mergeCell ref="B2:K3"/>
    <mergeCell ref="L2:Q2"/>
    <mergeCell ref="R2:W2"/>
    <mergeCell ref="X2:AC2"/>
    <mergeCell ref="AD2:AK3"/>
  </mergeCells>
  <phoneticPr fontId="3"/>
  <pageMargins left="0.35433070866141736" right="0.39370078740157483" top="0.78740157480314965" bottom="0.39370078740157483" header="0.39370078740157483" footer="0.39370078740157483"/>
  <pageSetup paperSize="9" scale="63" fitToHeight="0" orientation="landscape" r:id="rId1"/>
  <headerFooter alignWithMargins="0">
    <oddHeader>&amp;R&amp;G</oddHeader>
    <oddFooter>&amp;C&amp;8&amp;P&amp;R&amp;9©2021 SUS Co., Ltd. All right reserved</oddFooter>
  </headerFooter>
  <rowBreaks count="1" manualBreakCount="1">
    <brk id="50" max="54" man="1"/>
  </rowBreaks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9</vt:i4>
      </vt:variant>
    </vt:vector>
  </HeadingPairs>
  <TitlesOfParts>
    <vt:vector size="18" baseType="lpstr">
      <vt:lpstr>改版履歴</vt:lpstr>
      <vt:lpstr>パス一覧</vt:lpstr>
      <vt:lpstr>①ログイン画面</vt:lpstr>
      <vt:lpstr>②新規登録画面</vt:lpstr>
      <vt:lpstr>②登録確認ダイアログ</vt:lpstr>
      <vt:lpstr>③楽曲検索画面</vt:lpstr>
      <vt:lpstr>④楽曲管理画面</vt:lpstr>
      <vt:lpstr>⑤変更確認ダイアログ</vt:lpstr>
      <vt:lpstr>⑥削除確認ダイアログ</vt:lpstr>
      <vt:lpstr>①ログイン画面!Print_Area</vt:lpstr>
      <vt:lpstr>②新規登録画面!Print_Area</vt:lpstr>
      <vt:lpstr>②登録確認ダイアログ!Print_Area</vt:lpstr>
      <vt:lpstr>③楽曲検索画面!Print_Area</vt:lpstr>
      <vt:lpstr>④楽曲管理画面!Print_Area</vt:lpstr>
      <vt:lpstr>⑤変更確認ダイアログ!Print_Area</vt:lpstr>
      <vt:lpstr>⑥削除確認ダイアログ!Print_Area</vt:lpstr>
      <vt:lpstr>改版履歴!Print_Area</vt:lpstr>
      <vt:lpstr>改版履歴!Print_Titles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2026-06-04T04:54:47Z</dcterms:modified>
</cp:coreProperties>
</file>